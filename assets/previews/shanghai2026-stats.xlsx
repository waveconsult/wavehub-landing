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ku\Desktop\WaveApp\tennis-stats\"/>
    </mc:Choice>
  </mc:AlternateContent>
  <xr:revisionPtr revIDLastSave="0" documentId="13_ncr:1_{26EBC26E-4414-493D-8807-F396CCC5EC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yers" sheetId="1" r:id="rId1"/>
    <sheet name="Adjusted" sheetId="2" r:id="rId2"/>
    <sheet name="Matches" sheetId="3" r:id="rId3"/>
    <sheet name="Legend" sheetId="4" r:id="rId4"/>
  </sheets>
  <definedNames>
    <definedName name="_xlnm._FilterDatabase" localSheetId="1" hidden="1">Adjusted!$A$1:$Z$10</definedName>
    <definedName name="_xlnm._FilterDatabase" localSheetId="2" hidden="1">Matches!$A$1:$AB$26</definedName>
    <definedName name="_xlnm._FilterDatabase" localSheetId="0" hidden="1">Players!$A$1:$AU$10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<sst xmlns="http://schemas.openxmlformats.org/spreadsheetml/2006/main" count="302" uniqueCount="199">
  <si>
    <t>Player</t>
  </si>
  <si>
    <t>In draw</t>
  </si>
  <si>
    <t>M</t>
  </si>
  <si>
    <t>W</t>
  </si>
  <si>
    <t>Points</t>
  </si>
  <si>
    <t>Serve pts</t>
  </si>
  <si>
    <t>Aces</t>
  </si>
  <si>
    <t>DF</t>
  </si>
  <si>
    <t>Winners</t>
  </si>
  <si>
    <t>UE</t>
  </si>
  <si>
    <t>Ace% Sv</t>
  </si>
  <si>
    <t>DF% Sv</t>
  </si>
  <si>
    <t>DF% 2nd</t>
  </si>
  <si>
    <t>Ace/DF</t>
  </si>
  <si>
    <t>Win/100</t>
  </si>
  <si>
    <t>UE/100</t>
  </si>
  <si>
    <t>Win/P</t>
  </si>
  <si>
    <t>UE/P</t>
  </si>
  <si>
    <t>W/UE</t>
  </si>
  <si>
    <t>W-UE</t>
  </si>
  <si>
    <t>W-UE/100</t>
  </si>
  <si>
    <t>1st won%</t>
  </si>
  <si>
    <t>2nd won%</t>
  </si>
  <si>
    <t>SPW%</t>
  </si>
  <si>
    <t>RPW%</t>
  </si>
  <si>
    <t>TPW%</t>
  </si>
  <si>
    <t>Dominance</t>
  </si>
  <si>
    <t>BP saved</t>
  </si>
  <si>
    <t>BP faced</t>
  </si>
  <si>
    <t>BP sv%</t>
  </si>
  <si>
    <t>BP conv</t>
  </si>
  <si>
    <t>BP chances</t>
  </si>
  <si>
    <t>BP cv%</t>
  </si>
  <si>
    <t>Pts/match</t>
  </si>
  <si>
    <t>TPW sd</t>
  </si>
  <si>
    <t>SPW sd</t>
  </si>
  <si>
    <t>UE/100 sd</t>
  </si>
  <si>
    <t>TPW floor</t>
  </si>
  <si>
    <t>TPW ceiling</t>
  </si>
  <si>
    <t>TPW range</t>
  </si>
  <si>
    <t>TPW last</t>
  </si>
  <si>
    <t>Trend</t>
  </si>
  <si>
    <t>1st-2nd</t>
  </si>
  <si>
    <t>Free pts%</t>
  </si>
  <si>
    <t>Aggression</t>
  </si>
  <si>
    <t>Clean M</t>
  </si>
  <si>
    <t>BP index</t>
  </si>
  <si>
    <t>Gea A.</t>
  </si>
  <si>
    <t>Paul T.</t>
  </si>
  <si>
    <t>Medvedev D.</t>
  </si>
  <si>
    <t>Zverev A.</t>
  </si>
  <si>
    <t>Jodar R.</t>
  </si>
  <si>
    <t>Davidovich Fokina A.</t>
  </si>
  <si>
    <t>De Minaur A.</t>
  </si>
  <si>
    <t>Auger-Aliassime F.</t>
  </si>
  <si>
    <t>Ruud C.</t>
  </si>
  <si>
    <t>Opp level</t>
  </si>
  <si>
    <t>TPW adj</t>
  </si>
  <si>
    <t>Dom adj</t>
  </si>
  <si>
    <t>W/UE adj</t>
  </si>
  <si>
    <t>SPW raw</t>
  </si>
  <si>
    <t>SPW adj</t>
  </si>
  <si>
    <t>SPW d</t>
  </si>
  <si>
    <t>RPW raw</t>
  </si>
  <si>
    <t>RPW adj</t>
  </si>
  <si>
    <t>RPW d</t>
  </si>
  <si>
    <t>Ace raw</t>
  </si>
  <si>
    <t>Ace adj</t>
  </si>
  <si>
    <t>Ace d</t>
  </si>
  <si>
    <t>Win/100 raw</t>
  </si>
  <si>
    <t>Win/100 adj</t>
  </si>
  <si>
    <t>Win/100 d</t>
  </si>
  <si>
    <t>UE/100 raw</t>
  </si>
  <si>
    <t>UE/100 adj</t>
  </si>
  <si>
    <t>UE/100 d</t>
  </si>
  <si>
    <t>BP cv raw</t>
  </si>
  <si>
    <t>BP cv adj</t>
  </si>
  <si>
    <t>BP cv d</t>
  </si>
  <si>
    <t>ID</t>
  </si>
  <si>
    <t>Date</t>
  </si>
  <si>
    <t>Round</t>
  </si>
  <si>
    <t>Opponent</t>
  </si>
  <si>
    <t>Won</t>
  </si>
  <si>
    <t>Sets</t>
  </si>
  <si>
    <t>1st in%</t>
  </si>
  <si>
    <t>1st won</t>
  </si>
  <si>
    <t>1st pts</t>
  </si>
  <si>
    <t>2nd won</t>
  </si>
  <si>
    <t>2nd pts</t>
  </si>
  <si>
    <t>Sv pts won</t>
  </si>
  <si>
    <t>Ret pts won</t>
  </si>
  <si>
    <t>Ret pts</t>
  </si>
  <si>
    <t>Pts won</t>
  </si>
  <si>
    <t>Pts total</t>
  </si>
  <si>
    <t>Games won</t>
  </si>
  <si>
    <t>Games</t>
  </si>
  <si>
    <t>0KoNaKED</t>
  </si>
  <si>
    <t>R64</t>
  </si>
  <si>
    <t>Ugo Carabelli C.</t>
  </si>
  <si>
    <t>1-2</t>
  </si>
  <si>
    <t>2qYa871C</t>
  </si>
  <si>
    <t>R16</t>
  </si>
  <si>
    <t>Hurkacz H.</t>
  </si>
  <si>
    <t>488k2SDl</t>
  </si>
  <si>
    <t>Tsitsipas S.</t>
  </si>
  <si>
    <t>2-0</t>
  </si>
  <si>
    <t>4bLAzWTP</t>
  </si>
  <si>
    <t>R32</t>
  </si>
  <si>
    <t>Halys Q.</t>
  </si>
  <si>
    <t>2-1</t>
  </si>
  <si>
    <t>GCec78lJ</t>
  </si>
  <si>
    <t>Sakamoto R.</t>
  </si>
  <si>
    <t>KOht3l94</t>
  </si>
  <si>
    <t>Van De Zandschulp B.</t>
  </si>
  <si>
    <t>MiqrxiCt</t>
  </si>
  <si>
    <t>Svrcina D.</t>
  </si>
  <si>
    <t>QZjkor9F</t>
  </si>
  <si>
    <t>Lehecka J.</t>
  </si>
  <si>
    <t>QZrKbQbf</t>
  </si>
  <si>
    <t>Rd1</t>
  </si>
  <si>
    <t>Faria J.</t>
  </si>
  <si>
    <t>WbnajYcL</t>
  </si>
  <si>
    <t>Vallejo D.</t>
  </si>
  <si>
    <t>YBtcULQF</t>
  </si>
  <si>
    <t>Vacherot V.</t>
  </si>
  <si>
    <t>YNUxv1ye</t>
  </si>
  <si>
    <t>Wu Y.</t>
  </si>
  <si>
    <t>YVh1aC2e</t>
  </si>
  <si>
    <t>Tiafoe F.</t>
  </si>
  <si>
    <t>YaYFOjCL</t>
  </si>
  <si>
    <t>Bergs Z.</t>
  </si>
  <si>
    <t>Yc7hTJ15</t>
  </si>
  <si>
    <t>Bublik A.</t>
  </si>
  <si>
    <t>YyjFOsyB</t>
  </si>
  <si>
    <t>Tien L.</t>
  </si>
  <si>
    <t>0-2</t>
  </si>
  <si>
    <t>hxyDNByK</t>
  </si>
  <si>
    <t>Khachanov K.</t>
  </si>
  <si>
    <t>j3B2ANuK</t>
  </si>
  <si>
    <t>Carreno-Busta P.</t>
  </si>
  <si>
    <t>jHC4q3Z0</t>
  </si>
  <si>
    <t>Humbert U.</t>
  </si>
  <si>
    <t>jsY3lAwe</t>
  </si>
  <si>
    <t>Struff J-L.</t>
  </si>
  <si>
    <t>nXTeQ7hf</t>
  </si>
  <si>
    <t>Mensik J.</t>
  </si>
  <si>
    <t>pfCDi9nR</t>
  </si>
  <si>
    <t>Shelton B.</t>
  </si>
  <si>
    <t>t4t6sBqf</t>
  </si>
  <si>
    <t>Bu Y.</t>
  </si>
  <si>
    <t>tWr7bGXi</t>
  </si>
  <si>
    <t>Brooksby J.</t>
  </si>
  <si>
    <t>zBZEAdpT</t>
  </si>
  <si>
    <t>Tirante T. A.</t>
  </si>
  <si>
    <t>Column</t>
  </si>
  <si>
    <t>What it computes</t>
  </si>
  <si>
    <t>1 = has not lost yet and is still playing the tournament.</t>
  </si>
  <si>
    <t>M, W</t>
  </si>
  <si>
    <t>Matches played and won.</t>
  </si>
  <si>
    <t>Every point the player played, his own and his opponent's serve.</t>
  </si>
  <si>
    <t>Ace% Sv / DF% Sv</t>
  </si>
  <si>
    <t>Aces and double faults per 100 of his own service points.</t>
  </si>
  <si>
    <t>Double faults per 100 second serves. The faults are in the denominator.</t>
  </si>
  <si>
    <t>Aces divided by double faults.</t>
  </si>
  <si>
    <t>Win/100, UE/100</t>
  </si>
  <si>
    <t>Winners and unforced errors per 100 points played.</t>
  </si>
  <si>
    <t>Win/P, UE/P</t>
  </si>
  <si>
    <t>The same per point. 0.155 means an unforced error in roughly every sixth point.</t>
  </si>
  <si>
    <t>W/UE, W-UE, W-UE/100</t>
  </si>
  <si>
    <t>The ratio, the difference, and the difference per 100 points.</t>
  </si>
  <si>
    <t>1st won%, 2nd won%</t>
  </si>
  <si>
    <t>Points won behind the first and the second serve.</t>
  </si>
  <si>
    <t>How many points the second serve gives away against the first. A big gap means the match turns on the first-serve percentage.</t>
  </si>
  <si>
    <t>(Aces - double faults) per 100 service points: the free points the serve actually nets him.</t>
  </si>
  <si>
    <t>SPW%, RPW%, TPW%</t>
  </si>
  <si>
    <t>Serve, return and total points won.</t>
  </si>
  <si>
    <t>SPW% + RPW% - 100. One number for the overall level.</t>
  </si>
  <si>
    <t>(Winners + UE) per 100 points: how many points he ends himself, whichever way it goes.</t>
  </si>
  <si>
    <t>BP sv%, BP cv%</t>
  </si>
  <si>
    <t>Break points saved and own break chances converted.</t>
  </si>
  <si>
    <t>BP sv% + BP cv% - 100. Above zero means he won the big points on both ends.</t>
  </si>
  <si>
    <t>TPW sd, SPW sd, UE/100 sd</t>
  </si>
  <si>
    <t>Spread across his matches, so lower is steadier. This is the consistency column: two players can sit at the same TPW% and one of them got there every match while the other swung wildly.</t>
  </si>
  <si>
    <t>TPW floor, ceiling, range</t>
  </si>
  <si>
    <t>His worst and best match, and the gap between them. The floor says what he looks like on a bad day, which is the day that gets him beaten.</t>
  </si>
  <si>
    <t>Total points won in his most recent match: form right now, not form on average.</t>
  </si>
  <si>
    <t>Last match minus first match, in TPW%. Positive means he has been building into the tournament.</t>
  </si>
  <si>
    <t>Matches with at least as many winners as unforced errors.</t>
  </si>
  <si>
    <t>Adjusted sheet</t>
  </si>
  <si>
    <t>Every rate next to what the opponents he faced normally concede. adjusted = raw plus or minus (what his opponents allow minus what the field allows). The head-to-head is left out of each opponent profile and thin profiles are pulled toward the field mean, so one match barely moves anybody.</t>
  </si>
  <si>
    <t>Points-weighted level of the opponents he actually played, from their other matches. Around 50 is an average field.</t>
  </si>
  <si>
    <t>raw / adj / d</t>
  </si>
  <si>
    <t>The number he produced, the number after adjustment, and the correction itself. A large d is the interesting part: it says the raw figure was earned against unusual opposition.</t>
  </si>
  <si>
    <t>Percentages</t>
  </si>
  <si>
    <t>Numerator and denominator are summed over the tournament and divided only then. Averaging the match values would weigh a straight-sets win as heavily as a three-hour grind.</t>
  </si>
  <si>
    <t>Winners and UE</t>
  </si>
  <si>
    <t>Counts from the data provider, not as hard a definition as an ace. Consistent inside one tournament, compare across tournaments with care.</t>
  </si>
  <si>
    <t>Few matches</t>
  </si>
  <si>
    <t>With two or three matches every rate is thin, and the sd columns especially so. The Points column says how much material a row rests 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</si>
</sst>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1" fillId="2" borderId="0" xfId="0" applyFont="1" applyFill="1"/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"/>
  <sheetViews>
    <sheetView tabSelected="1" zoomScale="70" zoomScaleNormal="70" workbookViewId="0">
      <pane xSplit="1" ySplit="1" topLeftCell="B2" activePane="bottomRight" state="frozen"/>
      <selection pane="topRight"/>
      <selection pane="bottomLeft"/>
      <selection pane="bottomRight" activeCell="E15" sqref="E15"/>
    </sheetView>
  </sheetViews>
  <sheetFormatPr baseColWidth="10" defaultColWidth="9.140625" defaultRowHeight="15"/>
  <cols>
    <col min="1" max="1" width="24" customWidth="1"/>
    <col min="2" max="2" width="10" customWidth="1"/>
    <col min="3" max="4" width="8" customWidth="1"/>
    <col min="5" max="5" width="9" customWidth="1"/>
    <col min="6" max="6" width="12" customWidth="1"/>
    <col min="7" max="8" width="8" customWidth="1"/>
    <col min="9" max="9" width="10" customWidth="1"/>
    <col min="10" max="10" width="8" customWidth="1"/>
    <col min="11" max="11" width="10" customWidth="1"/>
    <col min="12" max="12" width="9" customWidth="1"/>
    <col min="13" max="13" width="10" customWidth="1"/>
    <col min="14" max="14" width="9" customWidth="1"/>
    <col min="15" max="15" width="10" customWidth="1"/>
    <col min="16" max="16" width="9" customWidth="1"/>
    <col min="17" max="20" width="8" customWidth="1"/>
    <col min="21" max="23" width="11" customWidth="1"/>
    <col min="24" max="26" width="8" customWidth="1"/>
    <col min="27" max="27" width="12" customWidth="1"/>
    <col min="28" max="29" width="11" customWidth="1"/>
    <col min="30" max="30" width="9" customWidth="1"/>
    <col min="31" max="31" width="10" customWidth="1"/>
    <col min="32" max="32" width="13" customWidth="1"/>
    <col min="33" max="33" width="9" customWidth="1"/>
    <col min="34" max="34" width="12" customWidth="1"/>
    <col min="35" max="36" width="9" customWidth="1"/>
    <col min="37" max="38" width="12" customWidth="1"/>
    <col min="39" max="39" width="14" customWidth="1"/>
    <col min="40" max="40" width="12" customWidth="1"/>
    <col min="41" max="41" width="11" customWidth="1"/>
    <col min="42" max="42" width="8" customWidth="1"/>
    <col min="43" max="43" width="10" customWidth="1"/>
    <col min="44" max="44" width="12" customWidth="1"/>
    <col min="45" max="45" width="13" customWidth="1"/>
    <col min="46" max="46" width="10" customWidth="1"/>
    <col min="47" max="47" width="11" customWidth="1"/>
  </cols>
  <sheetData>
    <row r="1" spans="1:47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ht="24.95" customHeight="1">
      <c r="A2" s="9" t="s">
        <v>49</v>
      </c>
      <c r="B2" s="10">
        <v>1</v>
      </c>
      <c r="C2" s="10">
        <v>3</v>
      </c>
      <c r="D2" s="10">
        <v>3</v>
      </c>
      <c r="E2" s="10">
        <v>405</v>
      </c>
      <c r="F2" s="10">
        <v>199</v>
      </c>
      <c r="G2" s="10">
        <v>35</v>
      </c>
      <c r="H2" s="10">
        <v>11</v>
      </c>
      <c r="I2" s="10">
        <v>93</v>
      </c>
      <c r="J2" s="10">
        <v>48</v>
      </c>
      <c r="K2" s="11">
        <v>17.600000000000001</v>
      </c>
      <c r="L2" s="11">
        <v>5.5</v>
      </c>
      <c r="M2" s="11">
        <v>13.9</v>
      </c>
      <c r="N2" s="12">
        <v>3.18</v>
      </c>
      <c r="O2" s="11">
        <v>23</v>
      </c>
      <c r="P2" s="11">
        <v>11.9</v>
      </c>
      <c r="Q2" s="13">
        <v>0.23</v>
      </c>
      <c r="R2" s="13">
        <v>0.11899999999999999</v>
      </c>
      <c r="S2" s="12">
        <v>1.94</v>
      </c>
      <c r="T2" s="11">
        <v>45</v>
      </c>
      <c r="U2" s="11">
        <v>11.1</v>
      </c>
      <c r="V2" s="11">
        <v>85</v>
      </c>
      <c r="W2" s="11">
        <v>46.8</v>
      </c>
      <c r="X2" s="11">
        <v>69.8</v>
      </c>
      <c r="Y2" s="11">
        <v>41.3</v>
      </c>
      <c r="Z2" s="11">
        <v>55.3</v>
      </c>
      <c r="AA2" s="11">
        <v>11.1</v>
      </c>
      <c r="AB2" s="14">
        <v>7</v>
      </c>
      <c r="AC2" s="8">
        <v>10</v>
      </c>
      <c r="AD2" s="7">
        <v>70</v>
      </c>
      <c r="AE2" s="8">
        <v>10</v>
      </c>
      <c r="AF2" s="8">
        <v>22</v>
      </c>
      <c r="AG2" s="3">
        <v>45.5</v>
      </c>
      <c r="AH2" s="2">
        <v>135</v>
      </c>
      <c r="AI2" s="3">
        <v>0.8</v>
      </c>
      <c r="AJ2" s="3">
        <v>4.0999999999999996</v>
      </c>
      <c r="AK2" s="3">
        <v>4.7</v>
      </c>
      <c r="AL2" s="3">
        <v>54.4</v>
      </c>
      <c r="AM2" s="3">
        <v>56.4</v>
      </c>
      <c r="AN2" s="3">
        <v>2</v>
      </c>
      <c r="AO2" s="3">
        <v>54.4</v>
      </c>
      <c r="AP2" s="3">
        <v>-0.8</v>
      </c>
      <c r="AQ2" s="3">
        <v>38.200000000000003</v>
      </c>
      <c r="AR2" s="3">
        <v>12.1</v>
      </c>
      <c r="AS2" s="2">
        <v>34.799999999999997</v>
      </c>
      <c r="AT2" s="3">
        <v>3</v>
      </c>
      <c r="AU2" s="3">
        <v>15.5</v>
      </c>
    </row>
    <row r="3" spans="1:47" ht="24.95" customHeight="1">
      <c r="A3" s="9" t="s">
        <v>50</v>
      </c>
      <c r="B3" s="10">
        <v>1</v>
      </c>
      <c r="C3" s="10">
        <v>3</v>
      </c>
      <c r="D3" s="10">
        <v>3</v>
      </c>
      <c r="E3" s="10">
        <v>549</v>
      </c>
      <c r="F3" s="10">
        <v>259</v>
      </c>
      <c r="G3" s="10">
        <v>39</v>
      </c>
      <c r="H3" s="10">
        <v>3</v>
      </c>
      <c r="I3" s="10">
        <v>96</v>
      </c>
      <c r="J3" s="10">
        <v>56</v>
      </c>
      <c r="K3" s="11">
        <v>15.1</v>
      </c>
      <c r="L3" s="11">
        <v>1.2</v>
      </c>
      <c r="M3" s="11">
        <v>5</v>
      </c>
      <c r="N3" s="12">
        <v>13</v>
      </c>
      <c r="O3" s="11">
        <v>17.5</v>
      </c>
      <c r="P3" s="11">
        <v>10.199999999999999</v>
      </c>
      <c r="Q3" s="13">
        <v>0.17499999999999999</v>
      </c>
      <c r="R3" s="13">
        <v>0.10199999999999999</v>
      </c>
      <c r="S3" s="12">
        <v>1.71</v>
      </c>
      <c r="T3" s="11">
        <v>40</v>
      </c>
      <c r="U3" s="11">
        <v>7.3</v>
      </c>
      <c r="V3" s="11">
        <v>80.400000000000006</v>
      </c>
      <c r="W3" s="11">
        <v>60</v>
      </c>
      <c r="X3" s="11">
        <v>75.7</v>
      </c>
      <c r="Y3" s="11">
        <v>33.1</v>
      </c>
      <c r="Z3" s="11">
        <v>53.2</v>
      </c>
      <c r="AA3" s="11">
        <v>8.8000000000000007</v>
      </c>
      <c r="AB3" s="14">
        <v>1</v>
      </c>
      <c r="AC3" s="8">
        <v>4</v>
      </c>
      <c r="AD3" s="7">
        <v>25</v>
      </c>
      <c r="AE3" s="8">
        <v>5</v>
      </c>
      <c r="AF3" s="8">
        <v>20</v>
      </c>
      <c r="AG3" s="3">
        <v>25</v>
      </c>
      <c r="AH3" s="2">
        <v>183</v>
      </c>
      <c r="AI3" s="3">
        <v>1.2</v>
      </c>
      <c r="AJ3" s="3">
        <v>1.7</v>
      </c>
      <c r="AK3" s="3">
        <v>1.6</v>
      </c>
      <c r="AL3" s="3">
        <v>52.5</v>
      </c>
      <c r="AM3" s="3">
        <v>55.1</v>
      </c>
      <c r="AN3" s="3">
        <v>2.6</v>
      </c>
      <c r="AO3" s="3">
        <v>52.7</v>
      </c>
      <c r="AP3" s="3">
        <v>-2.4</v>
      </c>
      <c r="AQ3" s="3">
        <v>20.399999999999999</v>
      </c>
      <c r="AR3" s="3">
        <v>13.9</v>
      </c>
      <c r="AS3" s="2">
        <v>27.7</v>
      </c>
      <c r="AT3" s="3">
        <v>2</v>
      </c>
      <c r="AU3" s="3">
        <v>-50</v>
      </c>
    </row>
    <row r="4" spans="1:47" ht="24.95" customHeight="1">
      <c r="A4" s="9" t="s">
        <v>55</v>
      </c>
      <c r="B4" s="10">
        <v>1</v>
      </c>
      <c r="C4" s="10">
        <v>2</v>
      </c>
      <c r="D4" s="10">
        <v>2</v>
      </c>
      <c r="E4" s="10">
        <v>302</v>
      </c>
      <c r="F4" s="10">
        <v>138</v>
      </c>
      <c r="G4" s="10">
        <v>27</v>
      </c>
      <c r="H4" s="10">
        <v>4</v>
      </c>
      <c r="I4" s="10">
        <v>75</v>
      </c>
      <c r="J4" s="10">
        <v>48</v>
      </c>
      <c r="K4" s="11">
        <v>19.600000000000001</v>
      </c>
      <c r="L4" s="11">
        <v>2.9</v>
      </c>
      <c r="M4" s="11">
        <v>9.3000000000000007</v>
      </c>
      <c r="N4" s="12">
        <v>6.75</v>
      </c>
      <c r="O4" s="11">
        <v>24.8</v>
      </c>
      <c r="P4" s="11">
        <v>15.9</v>
      </c>
      <c r="Q4" s="13">
        <v>0.248</v>
      </c>
      <c r="R4" s="13">
        <v>0.159</v>
      </c>
      <c r="S4" s="12">
        <v>1.56</v>
      </c>
      <c r="T4" s="11">
        <v>27</v>
      </c>
      <c r="U4" s="11">
        <v>8.9</v>
      </c>
      <c r="V4" s="11">
        <v>82.1</v>
      </c>
      <c r="W4" s="11">
        <v>53.5</v>
      </c>
      <c r="X4" s="11">
        <v>73.2</v>
      </c>
      <c r="Y4" s="11">
        <v>39</v>
      </c>
      <c r="Z4" s="11">
        <v>54.6</v>
      </c>
      <c r="AA4" s="11">
        <v>12.2</v>
      </c>
      <c r="AB4" s="14">
        <v>5</v>
      </c>
      <c r="AC4" s="8">
        <v>5</v>
      </c>
      <c r="AD4" s="7">
        <v>100</v>
      </c>
      <c r="AE4" s="8">
        <v>3</v>
      </c>
      <c r="AF4" s="8">
        <v>16</v>
      </c>
      <c r="AG4" s="3">
        <v>18.8</v>
      </c>
      <c r="AH4" s="2">
        <v>151</v>
      </c>
      <c r="AI4" s="3">
        <v>2.1</v>
      </c>
      <c r="AJ4" s="3">
        <v>0.7</v>
      </c>
      <c r="AK4" s="3">
        <v>1.4</v>
      </c>
      <c r="AL4" s="3">
        <v>52.6</v>
      </c>
      <c r="AM4" s="3">
        <v>56.7</v>
      </c>
      <c r="AN4" s="3">
        <v>4.0999999999999996</v>
      </c>
      <c r="AO4" s="3">
        <v>52.6</v>
      </c>
      <c r="AP4" s="3">
        <v>-4.0999999999999996</v>
      </c>
      <c r="AQ4" s="3">
        <v>28.6</v>
      </c>
      <c r="AR4" s="3">
        <v>16.7</v>
      </c>
      <c r="AS4" s="2">
        <v>40.700000000000003</v>
      </c>
      <c r="AT4" s="3">
        <v>2</v>
      </c>
      <c r="AU4" s="3">
        <v>18.8</v>
      </c>
    </row>
    <row r="5" spans="1:47" ht="24.95" customHeight="1">
      <c r="A5" s="9" t="s">
        <v>52</v>
      </c>
      <c r="B5" s="10">
        <v>1</v>
      </c>
      <c r="C5" s="10">
        <v>3</v>
      </c>
      <c r="D5" s="10">
        <v>3</v>
      </c>
      <c r="E5" s="10">
        <v>524</v>
      </c>
      <c r="F5" s="10">
        <v>269</v>
      </c>
      <c r="G5" s="10">
        <v>16</v>
      </c>
      <c r="H5" s="10">
        <v>2</v>
      </c>
      <c r="I5" s="10">
        <v>108</v>
      </c>
      <c r="J5" s="10">
        <v>81</v>
      </c>
      <c r="K5" s="11">
        <v>5.9</v>
      </c>
      <c r="L5" s="11">
        <v>0.7</v>
      </c>
      <c r="M5" s="11">
        <v>2.4</v>
      </c>
      <c r="N5" s="12">
        <v>8</v>
      </c>
      <c r="O5" s="11">
        <v>20.6</v>
      </c>
      <c r="P5" s="11">
        <v>15.5</v>
      </c>
      <c r="Q5" s="13">
        <v>0.20599999999999999</v>
      </c>
      <c r="R5" s="13">
        <v>0.155</v>
      </c>
      <c r="S5" s="12">
        <v>1.33</v>
      </c>
      <c r="T5" s="11">
        <v>27</v>
      </c>
      <c r="U5" s="11">
        <v>5.2</v>
      </c>
      <c r="V5" s="11">
        <v>68.400000000000006</v>
      </c>
      <c r="W5" s="11">
        <v>61</v>
      </c>
      <c r="X5" s="11">
        <v>66.2</v>
      </c>
      <c r="Y5" s="11">
        <v>34.9</v>
      </c>
      <c r="Z5" s="11">
        <v>51</v>
      </c>
      <c r="AA5" s="11">
        <v>1.1000000000000001</v>
      </c>
      <c r="AB5" s="14">
        <v>16</v>
      </c>
      <c r="AC5" s="8">
        <v>21</v>
      </c>
      <c r="AD5" s="7">
        <v>76.2</v>
      </c>
      <c r="AE5" s="8">
        <v>7</v>
      </c>
      <c r="AF5" s="8">
        <v>11</v>
      </c>
      <c r="AG5" s="3">
        <v>63.6</v>
      </c>
      <c r="AH5" s="2">
        <v>175</v>
      </c>
      <c r="AI5" s="3">
        <v>4.8</v>
      </c>
      <c r="AJ5" s="3">
        <v>4.4000000000000004</v>
      </c>
      <c r="AK5" s="3">
        <v>2.2999999999999998</v>
      </c>
      <c r="AL5" s="3">
        <v>47.1</v>
      </c>
      <c r="AM5" s="3">
        <v>58.6</v>
      </c>
      <c r="AN5" s="3">
        <v>11.5</v>
      </c>
      <c r="AO5" s="3">
        <v>47.1</v>
      </c>
      <c r="AP5" s="3">
        <v>-11.5</v>
      </c>
      <c r="AQ5" s="3">
        <v>7.4</v>
      </c>
      <c r="AR5" s="3">
        <v>5.2</v>
      </c>
      <c r="AS5" s="2">
        <v>36.1</v>
      </c>
      <c r="AT5" s="3">
        <v>3</v>
      </c>
      <c r="AU5" s="3">
        <v>39.799999999999997</v>
      </c>
    </row>
    <row r="6" spans="1:47" ht="24.95" customHeight="1">
      <c r="A6" s="9" t="s">
        <v>53</v>
      </c>
      <c r="B6" s="10">
        <v>1</v>
      </c>
      <c r="C6" s="10">
        <v>2</v>
      </c>
      <c r="D6" s="10">
        <v>2</v>
      </c>
      <c r="E6" s="10">
        <v>247</v>
      </c>
      <c r="F6" s="10">
        <v>120</v>
      </c>
      <c r="G6" s="10">
        <v>15</v>
      </c>
      <c r="H6" s="10">
        <v>3</v>
      </c>
      <c r="I6" s="10">
        <v>35</v>
      </c>
      <c r="J6" s="10">
        <v>30</v>
      </c>
      <c r="K6" s="11">
        <v>12.5</v>
      </c>
      <c r="L6" s="11">
        <v>2.5</v>
      </c>
      <c r="M6" s="11">
        <v>7.1</v>
      </c>
      <c r="N6" s="12">
        <v>5</v>
      </c>
      <c r="O6" s="11">
        <v>14.2</v>
      </c>
      <c r="P6" s="11">
        <v>12.1</v>
      </c>
      <c r="Q6" s="13">
        <v>0.14199999999999999</v>
      </c>
      <c r="R6" s="13">
        <v>0.121</v>
      </c>
      <c r="S6" s="12">
        <v>1.17</v>
      </c>
      <c r="T6" s="11">
        <v>5</v>
      </c>
      <c r="U6" s="11">
        <v>2</v>
      </c>
      <c r="V6" s="11">
        <v>85.9</v>
      </c>
      <c r="W6" s="11">
        <v>61.9</v>
      </c>
      <c r="X6" s="11">
        <v>77.5</v>
      </c>
      <c r="Y6" s="11">
        <v>33.9</v>
      </c>
      <c r="Z6" s="11">
        <v>55.1</v>
      </c>
      <c r="AA6" s="11">
        <v>11.4</v>
      </c>
      <c r="AB6" s="14">
        <v>3</v>
      </c>
      <c r="AC6" s="8">
        <v>3</v>
      </c>
      <c r="AD6" s="7">
        <v>100</v>
      </c>
      <c r="AE6" s="8">
        <v>3</v>
      </c>
      <c r="AF6" s="8">
        <v>4</v>
      </c>
      <c r="AG6" s="3">
        <v>75</v>
      </c>
      <c r="AH6" s="2">
        <v>124</v>
      </c>
      <c r="AI6" s="3">
        <v>0.4</v>
      </c>
      <c r="AJ6" s="3">
        <v>2.4</v>
      </c>
      <c r="AK6" s="3">
        <v>3.8</v>
      </c>
      <c r="AL6" s="3">
        <v>54.7</v>
      </c>
      <c r="AM6" s="3">
        <v>55.5</v>
      </c>
      <c r="AN6" s="3">
        <v>0.8</v>
      </c>
      <c r="AO6" s="3">
        <v>55.5</v>
      </c>
      <c r="AP6" s="3">
        <v>0.8</v>
      </c>
      <c r="AQ6" s="3">
        <v>24</v>
      </c>
      <c r="AR6" s="3">
        <v>10</v>
      </c>
      <c r="AS6" s="2">
        <v>26.3</v>
      </c>
      <c r="AT6" s="3">
        <v>2</v>
      </c>
      <c r="AU6" s="3">
        <v>75</v>
      </c>
    </row>
    <row r="7" spans="1:47" ht="24.95" customHeight="1">
      <c r="A7" s="9" t="s">
        <v>47</v>
      </c>
      <c r="B7" s="10">
        <v>1</v>
      </c>
      <c r="C7" s="10">
        <v>4</v>
      </c>
      <c r="D7" s="10">
        <v>4</v>
      </c>
      <c r="E7" s="10">
        <v>628</v>
      </c>
      <c r="F7" s="10">
        <v>304</v>
      </c>
      <c r="G7" s="10">
        <v>30</v>
      </c>
      <c r="H7" s="10">
        <v>9</v>
      </c>
      <c r="I7" s="10">
        <v>94</v>
      </c>
      <c r="J7" s="10">
        <v>81</v>
      </c>
      <c r="K7" s="11">
        <v>9.9</v>
      </c>
      <c r="L7" s="11">
        <v>3</v>
      </c>
      <c r="M7" s="11">
        <v>8</v>
      </c>
      <c r="N7" s="12">
        <v>3.33</v>
      </c>
      <c r="O7" s="11">
        <v>15</v>
      </c>
      <c r="P7" s="11">
        <v>12.9</v>
      </c>
      <c r="Q7" s="13">
        <v>0.15</v>
      </c>
      <c r="R7" s="13">
        <v>0.129</v>
      </c>
      <c r="S7" s="12">
        <v>1.1599999999999999</v>
      </c>
      <c r="T7" s="11">
        <v>13</v>
      </c>
      <c r="U7" s="11">
        <v>2.1</v>
      </c>
      <c r="V7" s="11">
        <v>78</v>
      </c>
      <c r="W7" s="11">
        <v>60.2</v>
      </c>
      <c r="X7" s="11">
        <v>71.400000000000006</v>
      </c>
      <c r="Y7" s="11">
        <v>38</v>
      </c>
      <c r="Z7" s="11">
        <v>54.1</v>
      </c>
      <c r="AA7" s="11">
        <v>9.4</v>
      </c>
      <c r="AB7" s="14">
        <v>12</v>
      </c>
      <c r="AC7" s="8">
        <v>17</v>
      </c>
      <c r="AD7" s="7">
        <v>70.599999999999994</v>
      </c>
      <c r="AE7" s="8">
        <v>13</v>
      </c>
      <c r="AF7" s="8">
        <v>26</v>
      </c>
      <c r="AG7" s="3">
        <v>50</v>
      </c>
      <c r="AH7" s="2">
        <v>157</v>
      </c>
      <c r="AI7" s="3">
        <v>1.9</v>
      </c>
      <c r="AJ7" s="3">
        <v>4.5</v>
      </c>
      <c r="AK7" s="3">
        <v>3.6</v>
      </c>
      <c r="AL7" s="3">
        <v>52.1</v>
      </c>
      <c r="AM7" s="3">
        <v>57.1</v>
      </c>
      <c r="AN7" s="3">
        <v>5</v>
      </c>
      <c r="AO7" s="3">
        <v>52.1</v>
      </c>
      <c r="AP7" s="3">
        <v>-5</v>
      </c>
      <c r="AQ7" s="3">
        <v>17.8</v>
      </c>
      <c r="AR7" s="3">
        <v>6.9</v>
      </c>
      <c r="AS7" s="2">
        <v>27.9</v>
      </c>
      <c r="AT7" s="3">
        <v>2</v>
      </c>
      <c r="AU7" s="3">
        <v>20.6</v>
      </c>
    </row>
    <row r="8" spans="1:47" ht="24.95" customHeight="1">
      <c r="A8" s="9" t="s">
        <v>54</v>
      </c>
      <c r="B8" s="10">
        <v>1</v>
      </c>
      <c r="C8" s="10">
        <v>2</v>
      </c>
      <c r="D8" s="10">
        <v>2</v>
      </c>
      <c r="E8" s="10">
        <v>369</v>
      </c>
      <c r="F8" s="10">
        <v>167</v>
      </c>
      <c r="G8" s="10">
        <v>21</v>
      </c>
      <c r="H8" s="10">
        <v>5</v>
      </c>
      <c r="I8" s="10">
        <v>79</v>
      </c>
      <c r="J8" s="10">
        <v>70</v>
      </c>
      <c r="K8" s="11">
        <v>12.6</v>
      </c>
      <c r="L8" s="11">
        <v>3</v>
      </c>
      <c r="M8" s="11">
        <v>10</v>
      </c>
      <c r="N8" s="12">
        <v>4.2</v>
      </c>
      <c r="O8" s="11">
        <v>21.4</v>
      </c>
      <c r="P8" s="11">
        <v>19</v>
      </c>
      <c r="Q8" s="13">
        <v>0.214</v>
      </c>
      <c r="R8" s="13">
        <v>0.19</v>
      </c>
      <c r="S8" s="12">
        <v>1.1299999999999999</v>
      </c>
      <c r="T8" s="11">
        <v>9</v>
      </c>
      <c r="U8" s="11">
        <v>2.4</v>
      </c>
      <c r="V8" s="11">
        <v>82.1</v>
      </c>
      <c r="W8" s="11">
        <v>54</v>
      </c>
      <c r="X8" s="11">
        <v>73.7</v>
      </c>
      <c r="Y8" s="11">
        <v>39.6</v>
      </c>
      <c r="Z8" s="11">
        <v>55</v>
      </c>
      <c r="AA8" s="11">
        <v>13.3</v>
      </c>
      <c r="AB8" s="14">
        <v>7</v>
      </c>
      <c r="AC8" s="8">
        <v>10</v>
      </c>
      <c r="AD8" s="7">
        <v>70</v>
      </c>
      <c r="AE8" s="8">
        <v>6</v>
      </c>
      <c r="AF8" s="8">
        <v>23</v>
      </c>
      <c r="AG8" s="3">
        <v>26.1</v>
      </c>
      <c r="AH8" s="2">
        <v>184</v>
      </c>
      <c r="AI8" s="3">
        <v>1.4</v>
      </c>
      <c r="AJ8" s="3">
        <v>0.4</v>
      </c>
      <c r="AK8" s="3">
        <v>0.2</v>
      </c>
      <c r="AL8" s="3">
        <v>53.9</v>
      </c>
      <c r="AM8" s="3">
        <v>56.7</v>
      </c>
      <c r="AN8" s="3">
        <v>2.8</v>
      </c>
      <c r="AO8" s="3">
        <v>56.7</v>
      </c>
      <c r="AP8" s="3">
        <v>2.8</v>
      </c>
      <c r="AQ8" s="3">
        <v>28.1</v>
      </c>
      <c r="AR8" s="3">
        <v>9.6</v>
      </c>
      <c r="AS8" s="2">
        <v>40.4</v>
      </c>
      <c r="AT8" s="3">
        <v>2</v>
      </c>
      <c r="AU8" s="3">
        <v>-3.9</v>
      </c>
    </row>
    <row r="9" spans="1:47" ht="24.95" customHeight="1">
      <c r="A9" s="9" t="s">
        <v>48</v>
      </c>
      <c r="B9" s="10">
        <v>1</v>
      </c>
      <c r="C9" s="10">
        <v>3</v>
      </c>
      <c r="D9" s="10">
        <v>3</v>
      </c>
      <c r="E9" s="10">
        <v>368</v>
      </c>
      <c r="F9" s="10">
        <v>191</v>
      </c>
      <c r="G9" s="10">
        <v>12</v>
      </c>
      <c r="H9" s="10">
        <v>3</v>
      </c>
      <c r="I9" s="10">
        <v>53</v>
      </c>
      <c r="J9" s="10">
        <v>56</v>
      </c>
      <c r="K9" s="11">
        <v>6.3</v>
      </c>
      <c r="L9" s="11">
        <v>1.6</v>
      </c>
      <c r="M9" s="11">
        <v>4.5999999999999996</v>
      </c>
      <c r="N9" s="12">
        <v>4</v>
      </c>
      <c r="O9" s="11">
        <v>14.4</v>
      </c>
      <c r="P9" s="11">
        <v>15.2</v>
      </c>
      <c r="Q9" s="13">
        <v>0.14399999999999999</v>
      </c>
      <c r="R9" s="13">
        <v>0.152</v>
      </c>
      <c r="S9" s="12">
        <v>0.95</v>
      </c>
      <c r="T9" s="11">
        <v>-3</v>
      </c>
      <c r="U9" s="11">
        <v>-0.8</v>
      </c>
      <c r="V9" s="11">
        <v>71.400000000000006</v>
      </c>
      <c r="W9" s="11">
        <v>53.8</v>
      </c>
      <c r="X9" s="11">
        <v>65.400000000000006</v>
      </c>
      <c r="Y9" s="11">
        <v>45.2</v>
      </c>
      <c r="Z9" s="11">
        <v>55.7</v>
      </c>
      <c r="AA9" s="11">
        <v>10.6</v>
      </c>
      <c r="AB9" s="14">
        <v>17</v>
      </c>
      <c r="AC9" s="8">
        <v>21</v>
      </c>
      <c r="AD9" s="7">
        <v>81</v>
      </c>
      <c r="AE9" s="8">
        <v>12</v>
      </c>
      <c r="AF9" s="8">
        <v>20</v>
      </c>
      <c r="AG9" s="3">
        <v>60</v>
      </c>
      <c r="AH9" s="2">
        <v>123</v>
      </c>
      <c r="AI9" s="3">
        <v>4.3</v>
      </c>
      <c r="AJ9" s="3">
        <v>1.1000000000000001</v>
      </c>
      <c r="AK9" s="3">
        <v>1.7</v>
      </c>
      <c r="AL9" s="3">
        <v>51.3</v>
      </c>
      <c r="AM9" s="3">
        <v>61.9</v>
      </c>
      <c r="AN9" s="3">
        <v>10.6</v>
      </c>
      <c r="AO9" s="3">
        <v>51.3</v>
      </c>
      <c r="AP9" s="3">
        <v>-10.6</v>
      </c>
      <c r="AQ9" s="3">
        <v>17.600000000000001</v>
      </c>
      <c r="AR9" s="3">
        <v>4.7</v>
      </c>
      <c r="AS9" s="2">
        <v>29.6</v>
      </c>
      <c r="AT9" s="3">
        <v>2</v>
      </c>
      <c r="AU9" s="3">
        <v>41</v>
      </c>
    </row>
    <row r="10" spans="1:47" ht="24.95" customHeight="1">
      <c r="A10" s="9" t="s">
        <v>51</v>
      </c>
      <c r="B10" s="10">
        <v>1</v>
      </c>
      <c r="C10" s="10">
        <v>3</v>
      </c>
      <c r="D10" s="10">
        <v>3</v>
      </c>
      <c r="E10" s="10">
        <v>571</v>
      </c>
      <c r="F10" s="10">
        <v>304</v>
      </c>
      <c r="G10" s="10">
        <v>11</v>
      </c>
      <c r="H10" s="10">
        <v>5</v>
      </c>
      <c r="I10" s="10">
        <v>86</v>
      </c>
      <c r="J10" s="10">
        <v>92</v>
      </c>
      <c r="K10" s="11">
        <v>3.6</v>
      </c>
      <c r="L10" s="11">
        <v>1.6</v>
      </c>
      <c r="M10" s="11">
        <v>4.9000000000000004</v>
      </c>
      <c r="N10" s="12">
        <v>2.2000000000000002</v>
      </c>
      <c r="O10" s="11">
        <v>15.1</v>
      </c>
      <c r="P10" s="11">
        <v>16.100000000000001</v>
      </c>
      <c r="Q10" s="13">
        <v>0.151</v>
      </c>
      <c r="R10" s="13">
        <v>0.161</v>
      </c>
      <c r="S10" s="12">
        <v>0.93</v>
      </c>
      <c r="T10" s="11">
        <v>-6</v>
      </c>
      <c r="U10" s="11">
        <v>-1.1000000000000001</v>
      </c>
      <c r="V10" s="11">
        <v>69.2</v>
      </c>
      <c r="W10" s="11">
        <v>63.1</v>
      </c>
      <c r="X10" s="11">
        <v>67.099999999999994</v>
      </c>
      <c r="Y10" s="11">
        <v>35.200000000000003</v>
      </c>
      <c r="Z10" s="11">
        <v>52.2</v>
      </c>
      <c r="AA10" s="11">
        <v>2.2999999999999998</v>
      </c>
      <c r="AB10" s="14">
        <v>15</v>
      </c>
      <c r="AC10" s="8">
        <v>18</v>
      </c>
      <c r="AD10" s="7">
        <v>83.3</v>
      </c>
      <c r="AE10" s="8">
        <v>8</v>
      </c>
      <c r="AF10" s="8">
        <v>19</v>
      </c>
      <c r="AG10" s="3">
        <v>42.1</v>
      </c>
      <c r="AH10" s="2">
        <v>190</v>
      </c>
      <c r="AI10" s="3">
        <v>1.5</v>
      </c>
      <c r="AJ10" s="3">
        <v>1.2</v>
      </c>
      <c r="AK10" s="3">
        <v>4.5</v>
      </c>
      <c r="AL10" s="3">
        <v>50.7</v>
      </c>
      <c r="AM10" s="3">
        <v>54.3</v>
      </c>
      <c r="AN10" s="3">
        <v>3.6</v>
      </c>
      <c r="AO10" s="3">
        <v>54.3</v>
      </c>
      <c r="AP10" s="3">
        <v>2.7</v>
      </c>
      <c r="AQ10" s="3">
        <v>6.1</v>
      </c>
      <c r="AR10" s="3">
        <v>2</v>
      </c>
      <c r="AS10" s="2">
        <v>31.2</v>
      </c>
      <c r="AT10" s="3">
        <v>1</v>
      </c>
      <c r="AU10" s="3">
        <v>25.4</v>
      </c>
    </row>
  </sheetData>
  <autoFilter ref="A1:AU10" xr:uid="{00000000-0009-0000-0000-000000000000}">
    <sortState xmlns:xlrd2="http://schemas.microsoft.com/office/spreadsheetml/2017/richdata2" ref="A2:AU10">
      <sortCondition descending="1" ref="S1:S10"/>
    </sortState>
  </autoFilter>
  <conditionalFormatting sqref="K2:K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1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1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1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2:Y1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2:Z1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:AA1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1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2:AG1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2:AI10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:AJ10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2:AK10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:AL10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:AN10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O2:AO1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2:AP1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:AQ1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R2:AR1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2:AT1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U2:AU1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9.140625" defaultRowHeight="15"/>
  <cols>
    <col min="1" max="1" width="24" customWidth="1"/>
    <col min="2" max="2" width="10" customWidth="1"/>
    <col min="3" max="3" width="8" customWidth="1"/>
    <col min="4" max="4" width="9" customWidth="1"/>
    <col min="5" max="5" width="12" customWidth="1"/>
    <col min="6" max="7" width="10" customWidth="1"/>
    <col min="8" max="8" width="11" customWidth="1"/>
    <col min="9" max="10" width="10" customWidth="1"/>
    <col min="11" max="11" width="8" customWidth="1"/>
    <col min="12" max="13" width="10" customWidth="1"/>
    <col min="14" max="14" width="8" customWidth="1"/>
    <col min="15" max="16" width="10" customWidth="1"/>
    <col min="17" max="17" width="8" customWidth="1"/>
    <col min="18" max="19" width="14" customWidth="1"/>
    <col min="20" max="20" width="12" customWidth="1"/>
    <col min="21" max="22" width="13" customWidth="1"/>
    <col min="23" max="23" width="11" customWidth="1"/>
    <col min="24" max="25" width="12" customWidth="1"/>
    <col min="26" max="26" width="10" customWidth="1"/>
  </cols>
  <sheetData>
    <row r="1" spans="1:26" ht="3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</row>
    <row r="2" spans="1:26">
      <c r="A2" t="s">
        <v>49</v>
      </c>
      <c r="B2" s="2">
        <v>1</v>
      </c>
      <c r="C2" s="2">
        <v>3</v>
      </c>
      <c r="D2" s="2">
        <v>405</v>
      </c>
      <c r="E2" s="3">
        <v>49.5</v>
      </c>
      <c r="F2" s="3">
        <v>54.8</v>
      </c>
      <c r="G2" s="3">
        <v>10.1</v>
      </c>
      <c r="H2" s="4">
        <v>1.93</v>
      </c>
      <c r="I2" s="3">
        <v>69.8</v>
      </c>
      <c r="J2" s="3">
        <v>70.3</v>
      </c>
      <c r="K2" s="3">
        <v>0.4</v>
      </c>
      <c r="L2" s="3">
        <v>41.3</v>
      </c>
      <c r="M2" s="3">
        <v>39.799999999999997</v>
      </c>
      <c r="N2" s="3">
        <v>-1.5</v>
      </c>
      <c r="O2" s="3">
        <v>17.600000000000001</v>
      </c>
      <c r="P2" s="3">
        <v>17.3</v>
      </c>
      <c r="Q2" s="3">
        <v>-0.3</v>
      </c>
      <c r="R2" s="3">
        <v>23</v>
      </c>
      <c r="S2" s="3">
        <v>24.1</v>
      </c>
      <c r="T2" s="3">
        <v>1.1000000000000001</v>
      </c>
      <c r="U2" s="3">
        <v>11.9</v>
      </c>
      <c r="V2" s="3">
        <v>12.5</v>
      </c>
      <c r="W2" s="3">
        <v>0.6</v>
      </c>
      <c r="X2" s="3">
        <v>45.5</v>
      </c>
      <c r="Y2" s="3">
        <v>56.3</v>
      </c>
      <c r="Z2" s="3">
        <v>10.9</v>
      </c>
    </row>
    <row r="3" spans="1:26">
      <c r="A3" t="s">
        <v>54</v>
      </c>
      <c r="B3" s="2">
        <v>1</v>
      </c>
      <c r="C3" s="2">
        <v>2</v>
      </c>
      <c r="D3" s="2">
        <v>369</v>
      </c>
      <c r="E3" s="3">
        <v>49.5</v>
      </c>
      <c r="F3" s="3">
        <v>54.3</v>
      </c>
      <c r="G3" s="3">
        <v>12.2</v>
      </c>
      <c r="H3" s="4">
        <v>1.42</v>
      </c>
      <c r="I3" s="3">
        <v>73.7</v>
      </c>
      <c r="J3" s="3">
        <v>75.5</v>
      </c>
      <c r="K3" s="3">
        <v>1.8</v>
      </c>
      <c r="L3" s="3">
        <v>39.6</v>
      </c>
      <c r="M3" s="3">
        <v>36.700000000000003</v>
      </c>
      <c r="N3" s="3">
        <v>-2.9</v>
      </c>
      <c r="O3" s="3">
        <v>12.6</v>
      </c>
      <c r="P3" s="3">
        <v>14.5</v>
      </c>
      <c r="Q3" s="3">
        <v>1.9</v>
      </c>
      <c r="R3" s="3">
        <v>21.4</v>
      </c>
      <c r="S3" s="3">
        <v>22.6</v>
      </c>
      <c r="T3" s="3">
        <v>1.2</v>
      </c>
      <c r="U3" s="3">
        <v>19</v>
      </c>
      <c r="V3" s="3">
        <v>15.9</v>
      </c>
      <c r="W3" s="3">
        <v>-3.1</v>
      </c>
      <c r="X3" s="3">
        <v>26.1</v>
      </c>
      <c r="Y3" s="3">
        <v>30.3</v>
      </c>
      <c r="Z3" s="3">
        <v>4.3</v>
      </c>
    </row>
    <row r="4" spans="1:26">
      <c r="A4" t="s">
        <v>47</v>
      </c>
      <c r="B4" s="2">
        <v>1</v>
      </c>
      <c r="C4" s="2">
        <v>4</v>
      </c>
      <c r="D4" s="2">
        <v>628</v>
      </c>
      <c r="E4" s="3">
        <v>49</v>
      </c>
      <c r="F4" s="3">
        <v>53.2</v>
      </c>
      <c r="G4" s="3">
        <v>7.5</v>
      </c>
      <c r="H4" s="4">
        <v>1.1399999999999999</v>
      </c>
      <c r="I4" s="3">
        <v>71.400000000000006</v>
      </c>
      <c r="J4" s="3">
        <v>70.2</v>
      </c>
      <c r="K4" s="3">
        <v>-1.2</v>
      </c>
      <c r="L4" s="3">
        <v>38</v>
      </c>
      <c r="M4" s="3">
        <v>37.299999999999997</v>
      </c>
      <c r="N4" s="3">
        <v>-0.7</v>
      </c>
      <c r="O4" s="3">
        <v>9.9</v>
      </c>
      <c r="P4" s="3">
        <v>10.4</v>
      </c>
      <c r="Q4" s="3">
        <v>0.5</v>
      </c>
      <c r="R4" s="3">
        <v>15</v>
      </c>
      <c r="S4" s="3">
        <v>14.9</v>
      </c>
      <c r="T4" s="3">
        <v>-0.1</v>
      </c>
      <c r="U4" s="3">
        <v>12.9</v>
      </c>
      <c r="V4" s="3">
        <v>13.1</v>
      </c>
      <c r="W4" s="3">
        <v>0.2</v>
      </c>
      <c r="X4" s="3">
        <v>50</v>
      </c>
      <c r="Y4" s="3">
        <v>53.5</v>
      </c>
      <c r="Z4" s="3">
        <v>3.5</v>
      </c>
    </row>
    <row r="5" spans="1:26">
      <c r="A5" t="s">
        <v>53</v>
      </c>
      <c r="B5" s="2">
        <v>1</v>
      </c>
      <c r="C5" s="2">
        <v>2</v>
      </c>
      <c r="D5" s="2">
        <v>247</v>
      </c>
      <c r="E5" s="3">
        <v>48</v>
      </c>
      <c r="F5" s="3">
        <v>53.1</v>
      </c>
      <c r="G5" s="3">
        <v>7.4</v>
      </c>
      <c r="H5" s="4">
        <v>1.24</v>
      </c>
      <c r="I5" s="3">
        <v>77.5</v>
      </c>
      <c r="J5" s="3">
        <v>76.3</v>
      </c>
      <c r="K5" s="3">
        <v>-1.2</v>
      </c>
      <c r="L5" s="3">
        <v>33.9</v>
      </c>
      <c r="M5" s="3">
        <v>31.1</v>
      </c>
      <c r="N5" s="3">
        <v>-2.7</v>
      </c>
      <c r="O5" s="3">
        <v>12.5</v>
      </c>
      <c r="P5" s="3">
        <v>13.8</v>
      </c>
      <c r="Q5" s="3">
        <v>1.3</v>
      </c>
      <c r="R5" s="3">
        <v>14.2</v>
      </c>
      <c r="S5" s="3">
        <v>16</v>
      </c>
      <c r="T5" s="3">
        <v>1.9</v>
      </c>
      <c r="U5" s="3">
        <v>12.1</v>
      </c>
      <c r="V5" s="3">
        <v>12.9</v>
      </c>
      <c r="W5" s="3">
        <v>0.8</v>
      </c>
      <c r="X5" s="3">
        <v>75</v>
      </c>
      <c r="Y5" s="3">
        <v>76.599999999999994</v>
      </c>
      <c r="Z5" s="3">
        <v>1.6</v>
      </c>
    </row>
    <row r="6" spans="1:26">
      <c r="A6" t="s">
        <v>55</v>
      </c>
      <c r="B6" s="2">
        <v>1</v>
      </c>
      <c r="C6" s="2">
        <v>2</v>
      </c>
      <c r="D6" s="2">
        <v>302</v>
      </c>
      <c r="E6" s="3">
        <v>47.9</v>
      </c>
      <c r="F6" s="3">
        <v>52.7</v>
      </c>
      <c r="G6" s="3">
        <v>8</v>
      </c>
      <c r="H6" s="4">
        <v>1.63</v>
      </c>
      <c r="I6" s="3">
        <v>73.2</v>
      </c>
      <c r="J6" s="3">
        <v>69.3</v>
      </c>
      <c r="K6" s="3">
        <v>-3.9</v>
      </c>
      <c r="L6" s="3">
        <v>39</v>
      </c>
      <c r="M6" s="3">
        <v>38.700000000000003</v>
      </c>
      <c r="N6" s="3">
        <v>-0.3</v>
      </c>
      <c r="O6" s="3">
        <v>19.600000000000001</v>
      </c>
      <c r="P6" s="3">
        <v>18.8</v>
      </c>
      <c r="Q6" s="3">
        <v>-0.7</v>
      </c>
      <c r="R6" s="3">
        <v>24.8</v>
      </c>
      <c r="S6" s="3">
        <v>24.6</v>
      </c>
      <c r="T6" s="3">
        <v>-0.2</v>
      </c>
      <c r="U6" s="3">
        <v>15.9</v>
      </c>
      <c r="V6" s="3">
        <v>15.1</v>
      </c>
      <c r="W6" s="3">
        <v>-0.8</v>
      </c>
      <c r="X6" s="3">
        <v>18.8</v>
      </c>
      <c r="Y6" s="3">
        <v>18.8</v>
      </c>
      <c r="Z6" s="3">
        <v>0</v>
      </c>
    </row>
    <row r="7" spans="1:26">
      <c r="A7" t="s">
        <v>48</v>
      </c>
      <c r="B7" s="2">
        <v>1</v>
      </c>
      <c r="C7" s="2">
        <v>3</v>
      </c>
      <c r="D7" s="2">
        <v>368</v>
      </c>
      <c r="E7" s="3">
        <v>46.7</v>
      </c>
      <c r="F7" s="3">
        <v>52.5</v>
      </c>
      <c r="G7" s="3">
        <v>4.2</v>
      </c>
      <c r="H7" s="4">
        <v>1.32</v>
      </c>
      <c r="I7" s="3">
        <v>65.400000000000006</v>
      </c>
      <c r="J7" s="3">
        <v>62.9</v>
      </c>
      <c r="K7" s="3">
        <v>-2.6</v>
      </c>
      <c r="L7" s="3">
        <v>45.2</v>
      </c>
      <c r="M7" s="3">
        <v>41.3</v>
      </c>
      <c r="N7" s="3">
        <v>-3.9</v>
      </c>
      <c r="O7" s="3">
        <v>6.3</v>
      </c>
      <c r="P7" s="3">
        <v>8.1</v>
      </c>
      <c r="Q7" s="3">
        <v>1.9</v>
      </c>
      <c r="R7" s="3">
        <v>14.4</v>
      </c>
      <c r="S7" s="3">
        <v>17.7</v>
      </c>
      <c r="T7" s="3">
        <v>3.3</v>
      </c>
      <c r="U7" s="3">
        <v>15.2</v>
      </c>
      <c r="V7" s="3">
        <v>13.4</v>
      </c>
      <c r="W7" s="3">
        <v>-1.8</v>
      </c>
      <c r="X7" s="3">
        <v>60</v>
      </c>
      <c r="Y7" s="3">
        <v>59.3</v>
      </c>
      <c r="Z7" s="3">
        <v>-0.7</v>
      </c>
    </row>
    <row r="8" spans="1:26">
      <c r="A8" t="s">
        <v>50</v>
      </c>
      <c r="B8" s="2">
        <v>1</v>
      </c>
      <c r="C8" s="2">
        <v>3</v>
      </c>
      <c r="D8" s="2">
        <v>549</v>
      </c>
      <c r="E8" s="3">
        <v>47.8</v>
      </c>
      <c r="F8" s="3">
        <v>51.1</v>
      </c>
      <c r="G8" s="3">
        <v>4.3</v>
      </c>
      <c r="H8" s="4">
        <v>1.38</v>
      </c>
      <c r="I8" s="3">
        <v>75.7</v>
      </c>
      <c r="J8" s="3">
        <v>70.3</v>
      </c>
      <c r="K8" s="3">
        <v>-5.4</v>
      </c>
      <c r="L8" s="3">
        <v>33.1</v>
      </c>
      <c r="M8" s="3">
        <v>34</v>
      </c>
      <c r="N8" s="3">
        <v>0.9</v>
      </c>
      <c r="O8" s="3">
        <v>15.1</v>
      </c>
      <c r="P8" s="3">
        <v>13.7</v>
      </c>
      <c r="Q8" s="3">
        <v>-1.3</v>
      </c>
      <c r="R8" s="3">
        <v>17.5</v>
      </c>
      <c r="S8" s="3">
        <v>17.3</v>
      </c>
      <c r="T8" s="3">
        <v>-0.2</v>
      </c>
      <c r="U8" s="3">
        <v>10.199999999999999</v>
      </c>
      <c r="V8" s="3">
        <v>12.5</v>
      </c>
      <c r="W8" s="3">
        <v>2.2999999999999998</v>
      </c>
      <c r="X8" s="3">
        <v>25</v>
      </c>
      <c r="Y8" s="3">
        <v>26.4</v>
      </c>
      <c r="Z8" s="3">
        <v>1.4</v>
      </c>
    </row>
    <row r="9" spans="1:26">
      <c r="A9" t="s">
        <v>51</v>
      </c>
      <c r="B9" s="2">
        <v>1</v>
      </c>
      <c r="C9" s="2">
        <v>3</v>
      </c>
      <c r="D9" s="2">
        <v>571</v>
      </c>
      <c r="E9" s="3">
        <v>48.7</v>
      </c>
      <c r="F9" s="3">
        <v>50.8</v>
      </c>
      <c r="G9" s="3">
        <v>-0.5</v>
      </c>
      <c r="H9" s="4">
        <v>1.1100000000000001</v>
      </c>
      <c r="I9" s="3">
        <v>67.099999999999994</v>
      </c>
      <c r="J9" s="3">
        <v>66</v>
      </c>
      <c r="K9" s="3">
        <v>-1.1000000000000001</v>
      </c>
      <c r="L9" s="3">
        <v>35.200000000000003</v>
      </c>
      <c r="M9" s="3">
        <v>33.5</v>
      </c>
      <c r="N9" s="3">
        <v>-1.7</v>
      </c>
      <c r="O9" s="3">
        <v>3.6</v>
      </c>
      <c r="P9" s="3">
        <v>4.8</v>
      </c>
      <c r="Q9" s="3">
        <v>1.2</v>
      </c>
      <c r="R9" s="3">
        <v>15.1</v>
      </c>
      <c r="S9" s="3">
        <v>17.8</v>
      </c>
      <c r="T9" s="3">
        <v>2.7</v>
      </c>
      <c r="U9" s="3">
        <v>16.100000000000001</v>
      </c>
      <c r="V9" s="3">
        <v>16</v>
      </c>
      <c r="W9" s="3">
        <v>-0.1</v>
      </c>
      <c r="X9" s="3">
        <v>42.1</v>
      </c>
      <c r="Y9" s="3">
        <v>46.2</v>
      </c>
      <c r="Z9" s="3">
        <v>4.0999999999999996</v>
      </c>
    </row>
    <row r="10" spans="1:26">
      <c r="A10" t="s">
        <v>52</v>
      </c>
      <c r="B10" s="2">
        <v>1</v>
      </c>
      <c r="C10" s="2">
        <v>3</v>
      </c>
      <c r="D10" s="2">
        <v>524</v>
      </c>
      <c r="E10" s="3">
        <v>48.3</v>
      </c>
      <c r="F10" s="3">
        <v>49.1</v>
      </c>
      <c r="G10" s="3">
        <v>-2.5</v>
      </c>
      <c r="H10" s="4">
        <v>1.48</v>
      </c>
      <c r="I10" s="3">
        <v>66.2</v>
      </c>
      <c r="J10" s="3">
        <v>63.6</v>
      </c>
      <c r="K10" s="3">
        <v>-2.6</v>
      </c>
      <c r="L10" s="3">
        <v>34.9</v>
      </c>
      <c r="M10" s="3">
        <v>33.9</v>
      </c>
      <c r="N10" s="3">
        <v>-1</v>
      </c>
      <c r="O10" s="3">
        <v>5.9</v>
      </c>
      <c r="P10" s="3">
        <v>6.8</v>
      </c>
      <c r="Q10" s="3">
        <v>0.9</v>
      </c>
      <c r="R10" s="3">
        <v>20.6</v>
      </c>
      <c r="S10" s="3">
        <v>23.6</v>
      </c>
      <c r="T10" s="3">
        <v>3</v>
      </c>
      <c r="U10" s="3">
        <v>15.5</v>
      </c>
      <c r="V10" s="3">
        <v>15.9</v>
      </c>
      <c r="W10" s="3">
        <v>0.4</v>
      </c>
      <c r="X10" s="3">
        <v>63.6</v>
      </c>
      <c r="Y10" s="3">
        <v>64.3</v>
      </c>
      <c r="Z10" s="3">
        <v>0.6</v>
      </c>
    </row>
  </sheetData>
  <autoFilter ref="A1:Z10" xr:uid="{00000000-0009-0000-0000-000001000000}"/>
  <conditionalFormatting sqref="E2:E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1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:Y1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6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baseColWidth="10" defaultColWidth="9.140625" defaultRowHeight="15"/>
  <cols>
    <col min="1" max="3" width="8" customWidth="1"/>
    <col min="4" max="5" width="24" customWidth="1"/>
    <col min="6" max="9" width="8" customWidth="1"/>
    <col min="10" max="10" width="10" customWidth="1"/>
    <col min="11" max="11" width="8" customWidth="1"/>
    <col min="12" max="16" width="10" customWidth="1"/>
    <col min="17" max="18" width="11" customWidth="1"/>
    <col min="19" max="19" width="10" customWidth="1"/>
    <col min="20" max="21" width="13" customWidth="1"/>
    <col min="22" max="22" width="12" customWidth="1"/>
    <col min="23" max="23" width="14" customWidth="1"/>
    <col min="24" max="25" width="10" customWidth="1"/>
    <col min="26" max="27" width="12" customWidth="1"/>
    <col min="28" max="28" width="8" customWidth="1"/>
  </cols>
  <sheetData>
    <row r="1" spans="1:28" ht="30" customHeight="1">
      <c r="A1" s="1" t="s">
        <v>78</v>
      </c>
      <c r="B1" s="1" t="s">
        <v>79</v>
      </c>
      <c r="C1" s="1" t="s">
        <v>80</v>
      </c>
      <c r="D1" s="1" t="s">
        <v>0</v>
      </c>
      <c r="E1" s="1" t="s">
        <v>81</v>
      </c>
      <c r="F1" s="1" t="s">
        <v>82</v>
      </c>
      <c r="G1" s="1" t="s">
        <v>83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27</v>
      </c>
      <c r="R1" s="1" t="s">
        <v>28</v>
      </c>
      <c r="S1" s="1" t="s">
        <v>30</v>
      </c>
      <c r="T1" s="1" t="s">
        <v>31</v>
      </c>
      <c r="U1" s="1" t="s">
        <v>89</v>
      </c>
      <c r="V1" s="1" t="s">
        <v>5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</row>
    <row r="2" spans="1:28">
      <c r="A2" t="s">
        <v>96</v>
      </c>
      <c r="B2" s="2">
        <v>10.1</v>
      </c>
      <c r="C2" s="2" t="s">
        <v>97</v>
      </c>
      <c r="D2" s="2" t="s">
        <v>54</v>
      </c>
      <c r="E2" s="2" t="s">
        <v>98</v>
      </c>
      <c r="F2" s="2">
        <v>1</v>
      </c>
      <c r="G2" s="2" t="s">
        <v>99</v>
      </c>
      <c r="H2" s="2">
        <v>14</v>
      </c>
      <c r="I2" s="2">
        <v>3</v>
      </c>
      <c r="J2" s="2">
        <v>42</v>
      </c>
      <c r="K2" s="2">
        <v>42</v>
      </c>
      <c r="L2" s="2">
        <v>71</v>
      </c>
      <c r="M2" s="2">
        <v>57</v>
      </c>
      <c r="N2" s="2">
        <v>68</v>
      </c>
      <c r="O2" s="2">
        <v>14</v>
      </c>
      <c r="P2" s="2">
        <v>28</v>
      </c>
      <c r="Q2" s="2">
        <v>5</v>
      </c>
      <c r="R2" s="2">
        <v>7</v>
      </c>
      <c r="S2" s="2">
        <v>2</v>
      </c>
      <c r="T2" s="2">
        <v>14</v>
      </c>
      <c r="U2" s="2">
        <v>71</v>
      </c>
      <c r="V2" s="2">
        <v>96</v>
      </c>
      <c r="W2" s="2">
        <v>47</v>
      </c>
      <c r="X2" s="2">
        <v>123</v>
      </c>
      <c r="Y2" s="2">
        <v>118</v>
      </c>
      <c r="Z2" s="2">
        <v>219</v>
      </c>
      <c r="AA2" s="2">
        <v>17</v>
      </c>
      <c r="AB2" s="2">
        <v>34</v>
      </c>
    </row>
    <row r="3" spans="1:28">
      <c r="A3" t="s">
        <v>100</v>
      </c>
      <c r="B3" s="2">
        <v>13.1</v>
      </c>
      <c r="C3" s="2" t="s">
        <v>101</v>
      </c>
      <c r="D3" s="2" t="s">
        <v>52</v>
      </c>
      <c r="E3" s="2" t="s">
        <v>102</v>
      </c>
      <c r="F3" s="2">
        <v>1</v>
      </c>
      <c r="G3" s="2" t="s">
        <v>99</v>
      </c>
      <c r="H3" s="2">
        <v>3</v>
      </c>
      <c r="I3" s="2">
        <v>0</v>
      </c>
      <c r="J3" s="2">
        <v>34</v>
      </c>
      <c r="K3" s="2">
        <v>32</v>
      </c>
      <c r="L3" s="2">
        <v>72</v>
      </c>
      <c r="M3" s="2">
        <v>49</v>
      </c>
      <c r="N3" s="2">
        <v>77</v>
      </c>
      <c r="O3" s="2">
        <v>16</v>
      </c>
      <c r="P3" s="2">
        <v>30</v>
      </c>
      <c r="Q3" s="2">
        <v>9</v>
      </c>
      <c r="R3" s="2">
        <v>12</v>
      </c>
      <c r="S3" s="2">
        <v>2</v>
      </c>
      <c r="T3" s="2">
        <v>2</v>
      </c>
      <c r="U3" s="2">
        <v>65</v>
      </c>
      <c r="V3" s="2">
        <v>107</v>
      </c>
      <c r="W3" s="2">
        <v>23</v>
      </c>
      <c r="X3" s="2">
        <v>80</v>
      </c>
      <c r="Y3" s="2">
        <v>88</v>
      </c>
      <c r="Z3" s="2">
        <v>187</v>
      </c>
      <c r="AA3" s="2">
        <v>13</v>
      </c>
      <c r="AB3" s="2">
        <v>28</v>
      </c>
    </row>
    <row r="4" spans="1:28">
      <c r="A4" t="s">
        <v>103</v>
      </c>
      <c r="B4" s="2">
        <v>14.1</v>
      </c>
      <c r="C4" s="2" t="s">
        <v>101</v>
      </c>
      <c r="D4" s="2" t="s">
        <v>49</v>
      </c>
      <c r="E4" s="2" t="s">
        <v>104</v>
      </c>
      <c r="F4" s="2">
        <v>1</v>
      </c>
      <c r="G4" s="2" t="s">
        <v>105</v>
      </c>
      <c r="H4" s="2">
        <v>8</v>
      </c>
      <c r="I4" s="2">
        <v>1</v>
      </c>
      <c r="J4" s="2">
        <v>25</v>
      </c>
      <c r="K4" s="2">
        <v>10</v>
      </c>
      <c r="L4" s="2">
        <v>63</v>
      </c>
      <c r="M4" s="2">
        <v>33</v>
      </c>
      <c r="N4" s="2">
        <v>39</v>
      </c>
      <c r="O4" s="2">
        <v>12</v>
      </c>
      <c r="P4" s="2">
        <v>23</v>
      </c>
      <c r="Q4" s="2">
        <v>0</v>
      </c>
      <c r="R4" s="2">
        <v>0</v>
      </c>
      <c r="S4" s="2">
        <v>2</v>
      </c>
      <c r="T4" s="2">
        <v>7</v>
      </c>
      <c r="U4" s="2">
        <v>45</v>
      </c>
      <c r="V4" s="2">
        <v>62</v>
      </c>
      <c r="W4" s="2">
        <v>23</v>
      </c>
      <c r="X4" s="2">
        <v>63</v>
      </c>
      <c r="Y4" s="2">
        <v>68</v>
      </c>
      <c r="Z4" s="2">
        <v>125</v>
      </c>
      <c r="AA4" s="2">
        <v>13</v>
      </c>
      <c r="AB4" s="2">
        <v>22</v>
      </c>
    </row>
    <row r="5" spans="1:28">
      <c r="A5" t="s">
        <v>106</v>
      </c>
      <c r="B5" s="2">
        <v>11.1</v>
      </c>
      <c r="C5" s="2" t="s">
        <v>107</v>
      </c>
      <c r="D5" s="2" t="s">
        <v>50</v>
      </c>
      <c r="E5" s="2" t="s">
        <v>108</v>
      </c>
      <c r="F5" s="2">
        <v>1</v>
      </c>
      <c r="G5" s="2" t="s">
        <v>109</v>
      </c>
      <c r="H5" s="2">
        <v>19</v>
      </c>
      <c r="I5" s="2">
        <v>1</v>
      </c>
      <c r="J5" s="2">
        <v>37</v>
      </c>
      <c r="K5" s="2">
        <v>17</v>
      </c>
      <c r="L5" s="2">
        <v>80</v>
      </c>
      <c r="M5" s="2">
        <v>62</v>
      </c>
      <c r="N5" s="2">
        <v>78</v>
      </c>
      <c r="O5" s="2">
        <v>11</v>
      </c>
      <c r="P5" s="2">
        <v>20</v>
      </c>
      <c r="Q5" s="2">
        <v>0</v>
      </c>
      <c r="R5" s="2">
        <v>0</v>
      </c>
      <c r="S5" s="2">
        <v>2</v>
      </c>
      <c r="T5" s="2">
        <v>9</v>
      </c>
      <c r="U5" s="2">
        <v>73</v>
      </c>
      <c r="V5" s="2">
        <v>98</v>
      </c>
      <c r="W5" s="2">
        <v>31</v>
      </c>
      <c r="X5" s="2">
        <v>100</v>
      </c>
      <c r="Y5" s="2">
        <v>104</v>
      </c>
      <c r="Z5" s="2">
        <v>198</v>
      </c>
      <c r="AA5" s="2">
        <v>18</v>
      </c>
      <c r="AB5" s="2">
        <v>31</v>
      </c>
    </row>
    <row r="6" spans="1:28">
      <c r="A6" t="s">
        <v>110</v>
      </c>
      <c r="B6" s="2">
        <v>11.1</v>
      </c>
      <c r="C6" s="2" t="s">
        <v>107</v>
      </c>
      <c r="D6" s="2" t="s">
        <v>53</v>
      </c>
      <c r="E6" s="2" t="s">
        <v>111</v>
      </c>
      <c r="F6" s="2">
        <v>1</v>
      </c>
      <c r="G6" s="2" t="s">
        <v>105</v>
      </c>
      <c r="H6" s="2">
        <v>11</v>
      </c>
      <c r="I6" s="2">
        <v>2</v>
      </c>
      <c r="J6" s="2">
        <v>13</v>
      </c>
      <c r="K6" s="2">
        <v>12</v>
      </c>
      <c r="L6" s="2">
        <v>59</v>
      </c>
      <c r="M6" s="2">
        <v>35</v>
      </c>
      <c r="N6" s="2">
        <v>38</v>
      </c>
      <c r="O6" s="2">
        <v>16</v>
      </c>
      <c r="P6" s="2">
        <v>26</v>
      </c>
      <c r="Q6" s="2">
        <v>2</v>
      </c>
      <c r="R6" s="2">
        <v>2</v>
      </c>
      <c r="S6" s="2">
        <v>1</v>
      </c>
      <c r="T6" s="2">
        <v>1</v>
      </c>
      <c r="U6" s="2">
        <v>51</v>
      </c>
      <c r="V6" s="2">
        <v>64</v>
      </c>
      <c r="W6" s="2">
        <v>24</v>
      </c>
      <c r="X6" s="2">
        <v>73</v>
      </c>
      <c r="Y6" s="2">
        <v>75</v>
      </c>
      <c r="Z6" s="2">
        <v>137</v>
      </c>
      <c r="AA6" s="2">
        <v>12</v>
      </c>
      <c r="AB6" s="2">
        <v>22</v>
      </c>
    </row>
    <row r="7" spans="1:28">
      <c r="A7" t="s">
        <v>112</v>
      </c>
      <c r="B7" s="2">
        <v>14.1</v>
      </c>
      <c r="C7" s="2" t="s">
        <v>101</v>
      </c>
      <c r="D7" s="2" t="s">
        <v>51</v>
      </c>
      <c r="E7" s="2" t="s">
        <v>113</v>
      </c>
      <c r="F7" s="2">
        <v>1</v>
      </c>
      <c r="G7" s="2" t="s">
        <v>99</v>
      </c>
      <c r="H7" s="2">
        <v>4</v>
      </c>
      <c r="I7" s="2">
        <v>2</v>
      </c>
      <c r="J7" s="2">
        <v>34</v>
      </c>
      <c r="K7" s="2">
        <v>37</v>
      </c>
      <c r="L7" s="2">
        <v>71</v>
      </c>
      <c r="M7" s="2">
        <v>47</v>
      </c>
      <c r="N7" s="2">
        <v>67</v>
      </c>
      <c r="O7" s="2">
        <v>18</v>
      </c>
      <c r="P7" s="2">
        <v>28</v>
      </c>
      <c r="Q7" s="2">
        <v>1</v>
      </c>
      <c r="R7" s="2">
        <v>2</v>
      </c>
      <c r="S7" s="2">
        <v>4</v>
      </c>
      <c r="T7" s="2">
        <v>9</v>
      </c>
      <c r="U7" s="2">
        <v>65</v>
      </c>
      <c r="V7" s="2">
        <v>95</v>
      </c>
      <c r="W7" s="2">
        <v>42</v>
      </c>
      <c r="X7" s="2">
        <v>102</v>
      </c>
      <c r="Y7" s="2">
        <v>107</v>
      </c>
      <c r="Z7" s="2">
        <v>197</v>
      </c>
      <c r="AA7" s="2">
        <v>18</v>
      </c>
      <c r="AB7" s="2">
        <v>30</v>
      </c>
    </row>
    <row r="8" spans="1:28">
      <c r="A8" t="s">
        <v>114</v>
      </c>
      <c r="B8" s="2">
        <v>12.1</v>
      </c>
      <c r="C8" s="2" t="s">
        <v>107</v>
      </c>
      <c r="D8" s="2" t="s">
        <v>49</v>
      </c>
      <c r="E8" s="2" t="s">
        <v>115</v>
      </c>
      <c r="F8" s="2">
        <v>1</v>
      </c>
      <c r="G8" s="2" t="s">
        <v>105</v>
      </c>
      <c r="H8" s="2">
        <v>6</v>
      </c>
      <c r="I8" s="2">
        <v>5</v>
      </c>
      <c r="J8" s="2">
        <v>28</v>
      </c>
      <c r="K8" s="2">
        <v>22</v>
      </c>
      <c r="L8" s="2">
        <v>58</v>
      </c>
      <c r="M8" s="2">
        <v>26</v>
      </c>
      <c r="N8" s="2">
        <v>32</v>
      </c>
      <c r="O8" s="2">
        <v>9</v>
      </c>
      <c r="P8" s="2">
        <v>23</v>
      </c>
      <c r="Q8" s="2">
        <v>3</v>
      </c>
      <c r="R8" s="2">
        <v>4</v>
      </c>
      <c r="S8" s="2">
        <v>5</v>
      </c>
      <c r="T8" s="2">
        <v>9</v>
      </c>
      <c r="U8" s="2">
        <v>35</v>
      </c>
      <c r="V8" s="2">
        <v>55</v>
      </c>
      <c r="W8" s="2">
        <v>31</v>
      </c>
      <c r="X8" s="2">
        <v>62</v>
      </c>
      <c r="Y8" s="2">
        <v>66</v>
      </c>
      <c r="Z8" s="2">
        <v>117</v>
      </c>
      <c r="AA8" s="2">
        <v>12</v>
      </c>
      <c r="AB8" s="2">
        <v>17</v>
      </c>
    </row>
    <row r="9" spans="1:28">
      <c r="A9" t="s">
        <v>116</v>
      </c>
      <c r="B9" s="2">
        <v>12.1</v>
      </c>
      <c r="C9" s="2" t="s">
        <v>107</v>
      </c>
      <c r="D9" s="2" t="s">
        <v>51</v>
      </c>
      <c r="E9" s="2" t="s">
        <v>117</v>
      </c>
      <c r="F9" s="2">
        <v>1</v>
      </c>
      <c r="G9" s="2" t="s">
        <v>99</v>
      </c>
      <c r="H9" s="2">
        <v>3</v>
      </c>
      <c r="I9" s="2">
        <v>0</v>
      </c>
      <c r="J9" s="2">
        <v>24</v>
      </c>
      <c r="K9" s="2">
        <v>22</v>
      </c>
      <c r="L9" s="2">
        <v>65</v>
      </c>
      <c r="M9" s="2">
        <v>51</v>
      </c>
      <c r="N9" s="2">
        <v>74</v>
      </c>
      <c r="O9" s="2">
        <v>25</v>
      </c>
      <c r="P9" s="2">
        <v>39</v>
      </c>
      <c r="Q9" s="2">
        <v>5</v>
      </c>
      <c r="R9" s="2">
        <v>6</v>
      </c>
      <c r="S9" s="2">
        <v>1</v>
      </c>
      <c r="T9" s="2">
        <v>4</v>
      </c>
      <c r="U9" s="2">
        <v>76</v>
      </c>
      <c r="V9" s="2">
        <v>113</v>
      </c>
      <c r="W9" s="2">
        <v>32</v>
      </c>
      <c r="X9" s="2">
        <v>100</v>
      </c>
      <c r="Y9" s="2">
        <v>108</v>
      </c>
      <c r="Z9" s="2">
        <v>213</v>
      </c>
      <c r="AA9" s="2">
        <v>16</v>
      </c>
      <c r="AB9" s="2">
        <v>32</v>
      </c>
    </row>
    <row r="10" spans="1:28">
      <c r="A10" t="s">
        <v>118</v>
      </c>
      <c r="B10" s="2">
        <v>7.1</v>
      </c>
      <c r="C10" s="2" t="s">
        <v>119</v>
      </c>
      <c r="D10" s="2" t="s">
        <v>47</v>
      </c>
      <c r="E10" s="2" t="s">
        <v>120</v>
      </c>
      <c r="F10" s="2">
        <v>1</v>
      </c>
      <c r="G10" s="2" t="s">
        <v>109</v>
      </c>
      <c r="H10" s="2">
        <v>7</v>
      </c>
      <c r="I10" s="2">
        <v>1</v>
      </c>
      <c r="J10" s="2">
        <v>30</v>
      </c>
      <c r="K10" s="2">
        <v>13</v>
      </c>
      <c r="L10" s="2">
        <v>61</v>
      </c>
      <c r="M10" s="2">
        <v>35</v>
      </c>
      <c r="N10" s="2">
        <v>45</v>
      </c>
      <c r="O10" s="2">
        <v>23</v>
      </c>
      <c r="P10" s="2">
        <v>29</v>
      </c>
      <c r="Q10" s="2">
        <v>2</v>
      </c>
      <c r="R10" s="2">
        <v>2</v>
      </c>
      <c r="S10" s="2">
        <v>5</v>
      </c>
      <c r="T10" s="2">
        <v>8</v>
      </c>
      <c r="U10" s="2">
        <v>58</v>
      </c>
      <c r="V10" s="2">
        <v>74</v>
      </c>
      <c r="W10" s="2">
        <v>39</v>
      </c>
      <c r="X10" s="2">
        <v>96</v>
      </c>
      <c r="Y10" s="2">
        <v>97</v>
      </c>
      <c r="Z10" s="2">
        <v>170</v>
      </c>
      <c r="AA10" s="2">
        <v>18</v>
      </c>
      <c r="AB10" s="2">
        <v>27</v>
      </c>
    </row>
    <row r="11" spans="1:28">
      <c r="A11" t="s">
        <v>121</v>
      </c>
      <c r="B11" s="2">
        <v>10.1</v>
      </c>
      <c r="C11" s="2" t="s">
        <v>97</v>
      </c>
      <c r="D11" s="2" t="s">
        <v>48</v>
      </c>
      <c r="E11" s="2" t="s">
        <v>122</v>
      </c>
      <c r="F11" s="2">
        <v>1</v>
      </c>
      <c r="G11" s="2" t="s">
        <v>105</v>
      </c>
      <c r="H11" s="2">
        <v>5</v>
      </c>
      <c r="I11" s="2">
        <v>1</v>
      </c>
      <c r="J11" s="2">
        <v>18</v>
      </c>
      <c r="K11" s="2">
        <v>17</v>
      </c>
      <c r="L11" s="2">
        <v>52</v>
      </c>
      <c r="M11" s="2">
        <v>17</v>
      </c>
      <c r="N11" s="2">
        <v>22</v>
      </c>
      <c r="O11" s="2">
        <v>10</v>
      </c>
      <c r="P11" s="2">
        <v>20</v>
      </c>
      <c r="Q11" s="2">
        <v>3</v>
      </c>
      <c r="R11" s="2">
        <v>5</v>
      </c>
      <c r="S11" s="2">
        <v>6</v>
      </c>
      <c r="T11" s="2">
        <v>10</v>
      </c>
      <c r="U11" s="2">
        <v>27</v>
      </c>
      <c r="V11" s="2">
        <v>42</v>
      </c>
      <c r="W11" s="2">
        <v>33</v>
      </c>
      <c r="X11" s="2">
        <v>55</v>
      </c>
      <c r="Y11" s="2">
        <v>60</v>
      </c>
      <c r="Z11" s="2">
        <v>97</v>
      </c>
      <c r="AA11" s="2">
        <v>12</v>
      </c>
      <c r="AB11" s="2">
        <v>16</v>
      </c>
    </row>
    <row r="12" spans="1:28">
      <c r="A12" t="s">
        <v>123</v>
      </c>
      <c r="B12" s="2">
        <v>12.1</v>
      </c>
      <c r="C12" s="2" t="s">
        <v>107</v>
      </c>
      <c r="D12" s="2" t="s">
        <v>48</v>
      </c>
      <c r="E12" s="2" t="s">
        <v>124</v>
      </c>
      <c r="F12" s="2">
        <v>1</v>
      </c>
      <c r="G12" s="2" t="s">
        <v>105</v>
      </c>
      <c r="H12" s="2">
        <v>4</v>
      </c>
      <c r="I12" s="2">
        <v>0</v>
      </c>
      <c r="J12" s="2">
        <v>21</v>
      </c>
      <c r="K12" s="2">
        <v>16</v>
      </c>
      <c r="L12" s="2">
        <v>63</v>
      </c>
      <c r="M12" s="2">
        <v>29</v>
      </c>
      <c r="N12" s="2">
        <v>39</v>
      </c>
      <c r="O12" s="2">
        <v>11</v>
      </c>
      <c r="P12" s="2">
        <v>23</v>
      </c>
      <c r="Q12" s="2">
        <v>6</v>
      </c>
      <c r="R12" s="2">
        <v>7</v>
      </c>
      <c r="S12" s="2">
        <v>4</v>
      </c>
      <c r="T12" s="2">
        <v>6</v>
      </c>
      <c r="U12" s="2">
        <v>40</v>
      </c>
      <c r="V12" s="2">
        <v>62</v>
      </c>
      <c r="W12" s="2">
        <v>27</v>
      </c>
      <c r="X12" s="2">
        <v>57</v>
      </c>
      <c r="Y12" s="2">
        <v>67</v>
      </c>
      <c r="Z12" s="2">
        <v>119</v>
      </c>
      <c r="AA12" s="2">
        <v>12</v>
      </c>
      <c r="AB12" s="2">
        <v>18</v>
      </c>
    </row>
    <row r="13" spans="1:28">
      <c r="A13" t="s">
        <v>125</v>
      </c>
      <c r="B13" s="2">
        <v>9.1</v>
      </c>
      <c r="C13" s="2" t="s">
        <v>97</v>
      </c>
      <c r="D13" s="2" t="s">
        <v>50</v>
      </c>
      <c r="E13" s="2" t="s">
        <v>126</v>
      </c>
      <c r="F13" s="2">
        <v>1</v>
      </c>
      <c r="G13" s="2" t="s">
        <v>105</v>
      </c>
      <c r="H13" s="2">
        <v>5</v>
      </c>
      <c r="I13" s="2">
        <v>1</v>
      </c>
      <c r="J13" s="2">
        <v>10</v>
      </c>
      <c r="K13" s="2">
        <v>16</v>
      </c>
      <c r="L13" s="2">
        <v>72</v>
      </c>
      <c r="M13" s="2">
        <v>35</v>
      </c>
      <c r="N13" s="2">
        <v>43</v>
      </c>
      <c r="O13" s="2">
        <v>12</v>
      </c>
      <c r="P13" s="2">
        <v>17</v>
      </c>
      <c r="Q13" s="2">
        <v>0</v>
      </c>
      <c r="R13" s="2">
        <v>1</v>
      </c>
      <c r="S13" s="2">
        <v>2</v>
      </c>
      <c r="T13" s="2">
        <v>5</v>
      </c>
      <c r="U13" s="2">
        <v>47</v>
      </c>
      <c r="V13" s="2">
        <v>60</v>
      </c>
      <c r="W13" s="2">
        <v>23</v>
      </c>
      <c r="X13" s="2">
        <v>67</v>
      </c>
      <c r="Y13" s="2">
        <v>70</v>
      </c>
      <c r="Z13" s="2">
        <v>127</v>
      </c>
      <c r="AA13" s="2">
        <v>12</v>
      </c>
      <c r="AB13" s="2">
        <v>22</v>
      </c>
    </row>
    <row r="14" spans="1:28">
      <c r="A14" t="s">
        <v>127</v>
      </c>
      <c r="B14" s="2">
        <v>11.1</v>
      </c>
      <c r="C14" s="2" t="s">
        <v>107</v>
      </c>
      <c r="D14" s="2" t="s">
        <v>52</v>
      </c>
      <c r="E14" s="2" t="s">
        <v>128</v>
      </c>
      <c r="F14" s="2">
        <v>1</v>
      </c>
      <c r="G14" s="2" t="s">
        <v>109</v>
      </c>
      <c r="H14" s="2">
        <v>8</v>
      </c>
      <c r="I14" s="2">
        <v>2</v>
      </c>
      <c r="J14" s="2">
        <v>54</v>
      </c>
      <c r="K14" s="2">
        <v>29</v>
      </c>
      <c r="L14" s="2">
        <v>63</v>
      </c>
      <c r="M14" s="2">
        <v>52</v>
      </c>
      <c r="N14" s="2">
        <v>71</v>
      </c>
      <c r="O14" s="2">
        <v>28</v>
      </c>
      <c r="P14" s="2">
        <v>41</v>
      </c>
      <c r="Q14" s="2">
        <v>6</v>
      </c>
      <c r="R14" s="2">
        <v>7</v>
      </c>
      <c r="S14" s="2">
        <v>0</v>
      </c>
      <c r="T14" s="2">
        <v>1</v>
      </c>
      <c r="U14" s="2">
        <v>80</v>
      </c>
      <c r="V14" s="2">
        <v>112</v>
      </c>
      <c r="W14" s="2">
        <v>34</v>
      </c>
      <c r="X14" s="2">
        <v>114</v>
      </c>
      <c r="Y14" s="2">
        <v>114</v>
      </c>
      <c r="Z14" s="2">
        <v>226</v>
      </c>
      <c r="AA14" s="2">
        <v>16</v>
      </c>
      <c r="AB14" s="2">
        <v>34</v>
      </c>
    </row>
    <row r="15" spans="1:28">
      <c r="A15" t="s">
        <v>129</v>
      </c>
      <c r="B15" s="2">
        <v>14.1</v>
      </c>
      <c r="C15" s="2" t="s">
        <v>101</v>
      </c>
      <c r="D15" s="2" t="s">
        <v>48</v>
      </c>
      <c r="E15" s="2" t="s">
        <v>130</v>
      </c>
      <c r="F15" s="2">
        <v>1</v>
      </c>
      <c r="G15" s="2" t="s">
        <v>105</v>
      </c>
      <c r="H15" s="2">
        <v>3</v>
      </c>
      <c r="I15" s="2">
        <v>2</v>
      </c>
      <c r="J15" s="2">
        <v>14</v>
      </c>
      <c r="K15" s="2">
        <v>23</v>
      </c>
      <c r="L15" s="2">
        <v>75</v>
      </c>
      <c r="M15" s="2">
        <v>44</v>
      </c>
      <c r="N15" s="2">
        <v>65</v>
      </c>
      <c r="O15" s="2">
        <v>14</v>
      </c>
      <c r="P15" s="2">
        <v>22</v>
      </c>
      <c r="Q15" s="2">
        <v>8</v>
      </c>
      <c r="R15" s="2">
        <v>9</v>
      </c>
      <c r="S15" s="2">
        <v>2</v>
      </c>
      <c r="T15" s="2">
        <v>4</v>
      </c>
      <c r="U15" s="2">
        <v>58</v>
      </c>
      <c r="V15" s="2">
        <v>87</v>
      </c>
      <c r="W15" s="2">
        <v>20</v>
      </c>
      <c r="X15" s="2">
        <v>65</v>
      </c>
      <c r="Y15" s="2">
        <v>78</v>
      </c>
      <c r="Z15" s="2">
        <v>152</v>
      </c>
      <c r="AA15" s="2">
        <v>12</v>
      </c>
      <c r="AB15" s="2">
        <v>22</v>
      </c>
    </row>
    <row r="16" spans="1:28">
      <c r="A16" t="s">
        <v>131</v>
      </c>
      <c r="B16" s="2">
        <v>13.1</v>
      </c>
      <c r="C16" s="2" t="s">
        <v>101</v>
      </c>
      <c r="D16" s="2" t="s">
        <v>50</v>
      </c>
      <c r="E16" s="2" t="s">
        <v>132</v>
      </c>
      <c r="F16" s="2">
        <v>1</v>
      </c>
      <c r="G16" s="2" t="s">
        <v>109</v>
      </c>
      <c r="H16" s="2">
        <v>15</v>
      </c>
      <c r="I16" s="2">
        <v>1</v>
      </c>
      <c r="J16" s="2">
        <v>49</v>
      </c>
      <c r="K16" s="2">
        <v>23</v>
      </c>
      <c r="L16" s="2">
        <v>77</v>
      </c>
      <c r="M16" s="2">
        <v>63</v>
      </c>
      <c r="N16" s="2">
        <v>78</v>
      </c>
      <c r="O16" s="2">
        <v>13</v>
      </c>
      <c r="P16" s="2">
        <v>23</v>
      </c>
      <c r="Q16" s="2">
        <v>1</v>
      </c>
      <c r="R16" s="2">
        <v>3</v>
      </c>
      <c r="S16" s="2">
        <v>1</v>
      </c>
      <c r="T16" s="2">
        <v>6</v>
      </c>
      <c r="U16" s="2">
        <v>76</v>
      </c>
      <c r="V16" s="2">
        <v>101</v>
      </c>
      <c r="W16" s="2">
        <v>42</v>
      </c>
      <c r="X16" s="2">
        <v>123</v>
      </c>
      <c r="Y16" s="2">
        <v>118</v>
      </c>
      <c r="Z16" s="2">
        <v>224</v>
      </c>
      <c r="AA16" s="2">
        <v>16</v>
      </c>
      <c r="AB16" s="2">
        <v>34</v>
      </c>
    </row>
    <row r="17" spans="1:28">
      <c r="A17" t="s">
        <v>133</v>
      </c>
      <c r="B17" s="2">
        <v>12.1</v>
      </c>
      <c r="C17" s="2" t="s">
        <v>107</v>
      </c>
      <c r="D17" s="2" t="s">
        <v>55</v>
      </c>
      <c r="E17" s="2" t="s">
        <v>134</v>
      </c>
      <c r="F17" s="2">
        <v>1</v>
      </c>
      <c r="G17" s="2" t="s">
        <v>135</v>
      </c>
      <c r="H17" s="2">
        <v>13</v>
      </c>
      <c r="I17" s="2">
        <v>3</v>
      </c>
      <c r="J17" s="2">
        <v>34</v>
      </c>
      <c r="K17" s="2">
        <v>22</v>
      </c>
      <c r="L17" s="2">
        <v>68</v>
      </c>
      <c r="M17" s="2">
        <v>42</v>
      </c>
      <c r="N17" s="2">
        <v>47</v>
      </c>
      <c r="O17" s="2">
        <v>8</v>
      </c>
      <c r="P17" s="2">
        <v>22</v>
      </c>
      <c r="Q17" s="2">
        <v>2</v>
      </c>
      <c r="R17" s="2">
        <v>2</v>
      </c>
      <c r="S17" s="2">
        <v>1</v>
      </c>
      <c r="T17" s="2">
        <v>9</v>
      </c>
      <c r="U17" s="2">
        <v>50</v>
      </c>
      <c r="V17" s="2">
        <v>69</v>
      </c>
      <c r="W17" s="2">
        <v>30</v>
      </c>
      <c r="X17" s="2">
        <v>83</v>
      </c>
      <c r="Y17" s="2">
        <v>80</v>
      </c>
      <c r="Z17" s="2">
        <v>152</v>
      </c>
      <c r="AA17" s="2">
        <v>12</v>
      </c>
      <c r="AB17" s="2">
        <v>22</v>
      </c>
    </row>
    <row r="18" spans="1:28">
      <c r="A18" t="s">
        <v>136</v>
      </c>
      <c r="B18" s="2">
        <v>13.1</v>
      </c>
      <c r="C18" s="2" t="s">
        <v>101</v>
      </c>
      <c r="D18" s="2" t="s">
        <v>53</v>
      </c>
      <c r="E18" s="2" t="s">
        <v>137</v>
      </c>
      <c r="F18" s="2">
        <v>1</v>
      </c>
      <c r="G18" s="2" t="s">
        <v>105</v>
      </c>
      <c r="H18" s="2">
        <v>4</v>
      </c>
      <c r="I18" s="2">
        <v>1</v>
      </c>
      <c r="J18" s="2">
        <v>22</v>
      </c>
      <c r="K18" s="2">
        <v>18</v>
      </c>
      <c r="L18" s="2">
        <v>71</v>
      </c>
      <c r="M18" s="2">
        <v>32</v>
      </c>
      <c r="N18" s="2">
        <v>40</v>
      </c>
      <c r="O18" s="2">
        <v>10</v>
      </c>
      <c r="P18" s="2">
        <v>16</v>
      </c>
      <c r="Q18" s="2">
        <v>1</v>
      </c>
      <c r="R18" s="2">
        <v>1</v>
      </c>
      <c r="S18" s="2">
        <v>2</v>
      </c>
      <c r="T18" s="2">
        <v>3</v>
      </c>
      <c r="U18" s="2">
        <v>42</v>
      </c>
      <c r="V18" s="2">
        <v>56</v>
      </c>
      <c r="W18" s="2">
        <v>19</v>
      </c>
      <c r="X18" s="2">
        <v>54</v>
      </c>
      <c r="Y18" s="2">
        <v>61</v>
      </c>
      <c r="Z18" s="2">
        <v>110</v>
      </c>
      <c r="AA18" s="2">
        <v>12</v>
      </c>
      <c r="AB18" s="2">
        <v>19</v>
      </c>
    </row>
    <row r="19" spans="1:28">
      <c r="A19" t="s">
        <v>138</v>
      </c>
      <c r="B19" s="2">
        <v>12.1</v>
      </c>
      <c r="C19" s="2" t="s">
        <v>107</v>
      </c>
      <c r="D19" s="2" t="s">
        <v>54</v>
      </c>
      <c r="E19" s="2" t="s">
        <v>139</v>
      </c>
      <c r="F19" s="2">
        <v>1</v>
      </c>
      <c r="G19" s="2" t="s">
        <v>99</v>
      </c>
      <c r="H19" s="2">
        <v>7</v>
      </c>
      <c r="I19" s="2">
        <v>2</v>
      </c>
      <c r="J19" s="2">
        <v>37</v>
      </c>
      <c r="K19" s="2">
        <v>28</v>
      </c>
      <c r="L19" s="2">
        <v>69</v>
      </c>
      <c r="M19" s="2">
        <v>39</v>
      </c>
      <c r="N19" s="2">
        <v>49</v>
      </c>
      <c r="O19" s="2">
        <v>13</v>
      </c>
      <c r="P19" s="2">
        <v>22</v>
      </c>
      <c r="Q19" s="2">
        <v>2</v>
      </c>
      <c r="R19" s="2">
        <v>3</v>
      </c>
      <c r="S19" s="2">
        <v>4</v>
      </c>
      <c r="T19" s="2">
        <v>9</v>
      </c>
      <c r="U19" s="2">
        <v>52</v>
      </c>
      <c r="V19" s="2">
        <v>71</v>
      </c>
      <c r="W19" s="2">
        <v>33</v>
      </c>
      <c r="X19" s="2">
        <v>79</v>
      </c>
      <c r="Y19" s="2">
        <v>85</v>
      </c>
      <c r="Z19" s="2">
        <v>150</v>
      </c>
      <c r="AA19" s="2">
        <v>16</v>
      </c>
      <c r="AB19" s="2">
        <v>26</v>
      </c>
    </row>
    <row r="20" spans="1:28">
      <c r="A20" t="s">
        <v>140</v>
      </c>
      <c r="B20" s="2">
        <v>9.1</v>
      </c>
      <c r="C20" s="2" t="s">
        <v>97</v>
      </c>
      <c r="D20" s="2" t="s">
        <v>47</v>
      </c>
      <c r="E20" s="2" t="s">
        <v>141</v>
      </c>
      <c r="F20" s="2">
        <v>1</v>
      </c>
      <c r="G20" s="2" t="s">
        <v>109</v>
      </c>
      <c r="H20" s="2">
        <v>8</v>
      </c>
      <c r="I20" s="2">
        <v>4</v>
      </c>
      <c r="J20" s="2">
        <v>18</v>
      </c>
      <c r="K20" s="2">
        <v>23</v>
      </c>
      <c r="L20" s="2">
        <v>63</v>
      </c>
      <c r="M20" s="2">
        <v>36</v>
      </c>
      <c r="N20" s="2">
        <v>45</v>
      </c>
      <c r="O20" s="2">
        <v>14</v>
      </c>
      <c r="P20" s="2">
        <v>27</v>
      </c>
      <c r="Q20" s="2">
        <v>3</v>
      </c>
      <c r="R20" s="2">
        <v>5</v>
      </c>
      <c r="S20" s="2">
        <v>4</v>
      </c>
      <c r="T20" s="2">
        <v>6</v>
      </c>
      <c r="U20" s="2">
        <v>50</v>
      </c>
      <c r="V20" s="2">
        <v>72</v>
      </c>
      <c r="W20" s="2">
        <v>28</v>
      </c>
      <c r="X20" s="2">
        <v>73</v>
      </c>
      <c r="Y20" s="2">
        <v>78</v>
      </c>
      <c r="Z20" s="2">
        <v>145</v>
      </c>
      <c r="AA20" s="2">
        <v>15</v>
      </c>
      <c r="AB20" s="2">
        <v>26</v>
      </c>
    </row>
    <row r="21" spans="1:28">
      <c r="A21" t="s">
        <v>142</v>
      </c>
      <c r="B21" s="2">
        <v>10.1</v>
      </c>
      <c r="C21" s="2" t="s">
        <v>97</v>
      </c>
      <c r="D21" s="2" t="s">
        <v>49</v>
      </c>
      <c r="E21" s="2" t="s">
        <v>143</v>
      </c>
      <c r="F21" s="2">
        <v>1</v>
      </c>
      <c r="G21" s="2" t="s">
        <v>109</v>
      </c>
      <c r="H21" s="2">
        <v>21</v>
      </c>
      <c r="I21" s="2">
        <v>5</v>
      </c>
      <c r="J21" s="2">
        <v>40</v>
      </c>
      <c r="K21" s="2">
        <v>16</v>
      </c>
      <c r="L21" s="2">
        <v>60</v>
      </c>
      <c r="M21" s="2">
        <v>43</v>
      </c>
      <c r="N21" s="2">
        <v>49</v>
      </c>
      <c r="O21" s="2">
        <v>16</v>
      </c>
      <c r="P21" s="2">
        <v>33</v>
      </c>
      <c r="Q21" s="2">
        <v>4</v>
      </c>
      <c r="R21" s="2">
        <v>6</v>
      </c>
      <c r="S21" s="2">
        <v>3</v>
      </c>
      <c r="T21" s="2">
        <v>6</v>
      </c>
      <c r="U21" s="2">
        <v>59</v>
      </c>
      <c r="V21" s="2">
        <v>82</v>
      </c>
      <c r="W21" s="2">
        <v>31</v>
      </c>
      <c r="X21" s="2">
        <v>81</v>
      </c>
      <c r="Y21" s="2">
        <v>90</v>
      </c>
      <c r="Z21" s="2">
        <v>163</v>
      </c>
      <c r="AA21" s="2">
        <v>16</v>
      </c>
      <c r="AB21" s="2">
        <v>29</v>
      </c>
    </row>
    <row r="22" spans="1:28">
      <c r="A22" t="s">
        <v>144</v>
      </c>
      <c r="B22" s="2">
        <v>13.1</v>
      </c>
      <c r="C22" s="2" t="s">
        <v>101</v>
      </c>
      <c r="D22" s="2" t="s">
        <v>47</v>
      </c>
      <c r="E22" s="2" t="s">
        <v>145</v>
      </c>
      <c r="F22" s="2">
        <v>1</v>
      </c>
      <c r="G22" s="2" t="s">
        <v>105</v>
      </c>
      <c r="H22" s="2">
        <v>11</v>
      </c>
      <c r="I22" s="2">
        <v>1</v>
      </c>
      <c r="J22" s="2">
        <v>21</v>
      </c>
      <c r="K22" s="2">
        <v>24</v>
      </c>
      <c r="L22" s="2">
        <v>64</v>
      </c>
      <c r="M22" s="2">
        <v>38</v>
      </c>
      <c r="N22" s="2">
        <v>48</v>
      </c>
      <c r="O22" s="2">
        <v>16</v>
      </c>
      <c r="P22" s="2">
        <v>27</v>
      </c>
      <c r="Q22" s="2">
        <v>2</v>
      </c>
      <c r="R22" s="2">
        <v>2</v>
      </c>
      <c r="S22" s="2">
        <v>1</v>
      </c>
      <c r="T22" s="2">
        <v>4</v>
      </c>
      <c r="U22" s="2">
        <v>54</v>
      </c>
      <c r="V22" s="2">
        <v>75</v>
      </c>
      <c r="W22" s="2">
        <v>21</v>
      </c>
      <c r="X22" s="2">
        <v>69</v>
      </c>
      <c r="Y22" s="2">
        <v>75</v>
      </c>
      <c r="Z22" s="2">
        <v>144</v>
      </c>
      <c r="AA22" s="2">
        <v>12</v>
      </c>
      <c r="AB22" s="2">
        <v>22</v>
      </c>
    </row>
    <row r="23" spans="1:28">
      <c r="A23" t="s">
        <v>146</v>
      </c>
      <c r="B23" s="2">
        <v>11.1</v>
      </c>
      <c r="C23" s="2" t="s">
        <v>107</v>
      </c>
      <c r="D23" s="2" t="s">
        <v>47</v>
      </c>
      <c r="E23" s="2" t="s">
        <v>147</v>
      </c>
      <c r="F23" s="2">
        <v>1</v>
      </c>
      <c r="G23" s="2" t="s">
        <v>135</v>
      </c>
      <c r="H23" s="2">
        <v>4</v>
      </c>
      <c r="I23" s="2">
        <v>3</v>
      </c>
      <c r="J23" s="2">
        <v>25</v>
      </c>
      <c r="K23" s="2">
        <v>21</v>
      </c>
      <c r="L23" s="2">
        <v>64</v>
      </c>
      <c r="M23" s="2">
        <v>40</v>
      </c>
      <c r="N23" s="2">
        <v>53</v>
      </c>
      <c r="O23" s="2">
        <v>15</v>
      </c>
      <c r="P23" s="2">
        <v>30</v>
      </c>
      <c r="Q23" s="2">
        <v>5</v>
      </c>
      <c r="R23" s="2">
        <v>8</v>
      </c>
      <c r="S23" s="2">
        <v>3</v>
      </c>
      <c r="T23" s="2">
        <v>8</v>
      </c>
      <c r="U23" s="2">
        <v>55</v>
      </c>
      <c r="V23" s="2">
        <v>83</v>
      </c>
      <c r="W23" s="2">
        <v>35</v>
      </c>
      <c r="X23" s="2">
        <v>86</v>
      </c>
      <c r="Y23" s="2">
        <v>90</v>
      </c>
      <c r="Z23" s="2">
        <v>169</v>
      </c>
      <c r="AA23" s="2">
        <v>12</v>
      </c>
      <c r="AB23" s="2">
        <v>24</v>
      </c>
    </row>
    <row r="24" spans="1:28">
      <c r="A24" t="s">
        <v>148</v>
      </c>
      <c r="B24" s="2">
        <v>10.1</v>
      </c>
      <c r="C24" s="2" t="s">
        <v>97</v>
      </c>
      <c r="D24" s="2" t="s">
        <v>55</v>
      </c>
      <c r="E24" s="2" t="s">
        <v>149</v>
      </c>
      <c r="F24" s="2">
        <v>1</v>
      </c>
      <c r="G24" s="2" t="s">
        <v>135</v>
      </c>
      <c r="H24" s="2">
        <v>14</v>
      </c>
      <c r="I24" s="2">
        <v>1</v>
      </c>
      <c r="J24" s="2">
        <v>41</v>
      </c>
      <c r="K24" s="2">
        <v>26</v>
      </c>
      <c r="L24" s="2">
        <v>70</v>
      </c>
      <c r="M24" s="2">
        <v>36</v>
      </c>
      <c r="N24" s="2">
        <v>48</v>
      </c>
      <c r="O24" s="2">
        <v>15</v>
      </c>
      <c r="P24" s="2">
        <v>21</v>
      </c>
      <c r="Q24" s="2">
        <v>3</v>
      </c>
      <c r="R24" s="2">
        <v>3</v>
      </c>
      <c r="S24" s="2">
        <v>2</v>
      </c>
      <c r="T24" s="2">
        <v>7</v>
      </c>
      <c r="U24" s="2">
        <v>51</v>
      </c>
      <c r="V24" s="2">
        <v>69</v>
      </c>
      <c r="W24" s="2">
        <v>34</v>
      </c>
      <c r="X24" s="2">
        <v>81</v>
      </c>
      <c r="Y24" s="2">
        <v>85</v>
      </c>
      <c r="Z24" s="2">
        <v>150</v>
      </c>
      <c r="AA24" s="2">
        <v>12</v>
      </c>
      <c r="AB24" s="2">
        <v>19</v>
      </c>
    </row>
    <row r="25" spans="1:28">
      <c r="A25" t="s">
        <v>150</v>
      </c>
      <c r="B25" s="2">
        <v>9.1</v>
      </c>
      <c r="C25" s="2" t="s">
        <v>97</v>
      </c>
      <c r="D25" s="2" t="s">
        <v>52</v>
      </c>
      <c r="E25" s="2" t="s">
        <v>151</v>
      </c>
      <c r="F25" s="2">
        <v>1</v>
      </c>
      <c r="G25" s="2" t="s">
        <v>105</v>
      </c>
      <c r="H25" s="2">
        <v>5</v>
      </c>
      <c r="I25" s="2">
        <v>0</v>
      </c>
      <c r="J25" s="2">
        <v>20</v>
      </c>
      <c r="K25" s="2">
        <v>20</v>
      </c>
      <c r="L25" s="2">
        <v>78</v>
      </c>
      <c r="M25" s="2">
        <v>27</v>
      </c>
      <c r="N25" s="2">
        <v>39</v>
      </c>
      <c r="O25" s="2">
        <v>6</v>
      </c>
      <c r="P25" s="2">
        <v>11</v>
      </c>
      <c r="Q25" s="2">
        <v>1</v>
      </c>
      <c r="R25" s="2">
        <v>2</v>
      </c>
      <c r="S25" s="2">
        <v>5</v>
      </c>
      <c r="T25" s="2">
        <v>8</v>
      </c>
      <c r="U25" s="2">
        <v>33</v>
      </c>
      <c r="V25" s="2">
        <v>50</v>
      </c>
      <c r="W25" s="2">
        <v>32</v>
      </c>
      <c r="X25" s="2">
        <v>61</v>
      </c>
      <c r="Y25" s="2">
        <v>65</v>
      </c>
      <c r="Z25" s="2">
        <v>111</v>
      </c>
      <c r="AA25" s="2">
        <v>12</v>
      </c>
      <c r="AB25" s="2">
        <v>16</v>
      </c>
    </row>
    <row r="26" spans="1:28">
      <c r="A26" t="s">
        <v>152</v>
      </c>
      <c r="B26" s="2">
        <v>10.1</v>
      </c>
      <c r="C26" s="2" t="s">
        <v>97</v>
      </c>
      <c r="D26" s="2" t="s">
        <v>51</v>
      </c>
      <c r="E26" s="2" t="s">
        <v>153</v>
      </c>
      <c r="F26" s="2">
        <v>1</v>
      </c>
      <c r="G26" s="2" t="s">
        <v>99</v>
      </c>
      <c r="H26" s="2">
        <v>4</v>
      </c>
      <c r="I26" s="2">
        <v>3</v>
      </c>
      <c r="J26" s="2">
        <v>28</v>
      </c>
      <c r="K26" s="2">
        <v>33</v>
      </c>
      <c r="L26" s="2">
        <v>63</v>
      </c>
      <c r="M26" s="2">
        <v>41</v>
      </c>
      <c r="N26" s="2">
        <v>60</v>
      </c>
      <c r="O26" s="2">
        <v>22</v>
      </c>
      <c r="P26" s="2">
        <v>36</v>
      </c>
      <c r="Q26" s="2">
        <v>9</v>
      </c>
      <c r="R26" s="2">
        <v>10</v>
      </c>
      <c r="S26" s="2">
        <v>3</v>
      </c>
      <c r="T26" s="2">
        <v>6</v>
      </c>
      <c r="U26" s="2">
        <v>63</v>
      </c>
      <c r="V26" s="2">
        <v>96</v>
      </c>
      <c r="W26" s="2">
        <v>20</v>
      </c>
      <c r="X26" s="2">
        <v>65</v>
      </c>
      <c r="Y26" s="2">
        <v>83</v>
      </c>
      <c r="Z26" s="2">
        <v>161</v>
      </c>
      <c r="AA26" s="2">
        <v>16</v>
      </c>
      <c r="AB26" s="2">
        <v>27</v>
      </c>
    </row>
  </sheetData>
  <autoFilter ref="A1:AB2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"/>
  <sheetViews>
    <sheetView workbookViewId="0"/>
  </sheetViews>
  <sheetFormatPr baseColWidth="10" defaultColWidth="9.140625" defaultRowHeight="15"/>
  <cols>
    <col min="1" max="1" width="26" customWidth="1"/>
    <col min="2" max="2" width="96" customWidth="1"/>
  </cols>
  <sheetData>
    <row r="1" spans="1:2">
      <c r="A1" s="5" t="s">
        <v>154</v>
      </c>
      <c r="B1" s="5" t="s">
        <v>155</v>
      </c>
    </row>
    <row r="2" spans="1:2">
      <c r="A2" t="s">
        <v>1</v>
      </c>
      <c r="B2" s="6" t="s">
        <v>156</v>
      </c>
    </row>
    <row r="3" spans="1:2">
      <c r="A3" t="s">
        <v>157</v>
      </c>
      <c r="B3" s="6" t="s">
        <v>158</v>
      </c>
    </row>
    <row r="4" spans="1:2">
      <c r="A4" t="s">
        <v>4</v>
      </c>
      <c r="B4" s="6" t="s">
        <v>159</v>
      </c>
    </row>
    <row r="5" spans="1:2">
      <c r="A5" t="s">
        <v>160</v>
      </c>
      <c r="B5" s="6" t="s">
        <v>161</v>
      </c>
    </row>
    <row r="6" spans="1:2">
      <c r="A6" t="s">
        <v>12</v>
      </c>
      <c r="B6" s="6" t="s">
        <v>162</v>
      </c>
    </row>
    <row r="7" spans="1:2">
      <c r="A7" t="s">
        <v>13</v>
      </c>
      <c r="B7" s="6" t="s">
        <v>163</v>
      </c>
    </row>
    <row r="8" spans="1:2">
      <c r="A8" t="s">
        <v>164</v>
      </c>
      <c r="B8" s="6" t="s">
        <v>165</v>
      </c>
    </row>
    <row r="9" spans="1:2">
      <c r="A9" t="s">
        <v>166</v>
      </c>
      <c r="B9" s="6" t="s">
        <v>167</v>
      </c>
    </row>
    <row r="10" spans="1:2">
      <c r="A10" t="s">
        <v>168</v>
      </c>
      <c r="B10" s="6" t="s">
        <v>169</v>
      </c>
    </row>
    <row r="11" spans="1:2">
      <c r="A11" t="s">
        <v>170</v>
      </c>
      <c r="B11" s="6" t="s">
        <v>171</v>
      </c>
    </row>
    <row r="12" spans="1:2" ht="30">
      <c r="A12" t="s">
        <v>42</v>
      </c>
      <c r="B12" s="6" t="s">
        <v>172</v>
      </c>
    </row>
    <row r="13" spans="1:2">
      <c r="A13" t="s">
        <v>43</v>
      </c>
      <c r="B13" s="6" t="s">
        <v>173</v>
      </c>
    </row>
    <row r="14" spans="1:2">
      <c r="A14" t="s">
        <v>174</v>
      </c>
      <c r="B14" s="6" t="s">
        <v>175</v>
      </c>
    </row>
    <row r="15" spans="1:2">
      <c r="A15" t="s">
        <v>26</v>
      </c>
      <c r="B15" s="6" t="s">
        <v>176</v>
      </c>
    </row>
    <row r="16" spans="1:2">
      <c r="A16" t="s">
        <v>44</v>
      </c>
      <c r="B16" s="6" t="s">
        <v>177</v>
      </c>
    </row>
    <row r="17" spans="1:2">
      <c r="A17" t="s">
        <v>178</v>
      </c>
      <c r="B17" s="6" t="s">
        <v>179</v>
      </c>
    </row>
    <row r="18" spans="1:2">
      <c r="A18" t="s">
        <v>46</v>
      </c>
      <c r="B18" s="6" t="s">
        <v>180</v>
      </c>
    </row>
    <row r="19" spans="1:2">
      <c r="B19" s="6"/>
    </row>
    <row r="20" spans="1:2" ht="30">
      <c r="A20" t="s">
        <v>181</v>
      </c>
      <c r="B20" s="6" t="s">
        <v>182</v>
      </c>
    </row>
    <row r="21" spans="1:2" ht="30">
      <c r="A21" t="s">
        <v>183</v>
      </c>
      <c r="B21" s="6" t="s">
        <v>184</v>
      </c>
    </row>
    <row r="22" spans="1:2">
      <c r="A22" t="s">
        <v>40</v>
      </c>
      <c r="B22" s="6" t="s">
        <v>185</v>
      </c>
    </row>
    <row r="23" spans="1:2">
      <c r="A23" t="s">
        <v>41</v>
      </c>
      <c r="B23" s="6" t="s">
        <v>186</v>
      </c>
    </row>
    <row r="24" spans="1:2">
      <c r="A24" t="s">
        <v>45</v>
      </c>
      <c r="B24" s="6" t="s">
        <v>187</v>
      </c>
    </row>
    <row r="25" spans="1:2">
      <c r="B25" s="6"/>
    </row>
    <row r="26" spans="1:2" ht="45">
      <c r="A26" t="s">
        <v>188</v>
      </c>
      <c r="B26" s="6" t="s">
        <v>189</v>
      </c>
    </row>
    <row r="27" spans="1:2" ht="30">
      <c r="A27" t="s">
        <v>56</v>
      </c>
      <c r="B27" s="6" t="s">
        <v>190</v>
      </c>
    </row>
    <row r="28" spans="1:2" ht="30">
      <c r="A28" t="s">
        <v>191</v>
      </c>
      <c r="B28" s="6" t="s">
        <v>192</v>
      </c>
    </row>
    <row r="29" spans="1:2">
      <c r="B29" s="6"/>
    </row>
    <row r="30" spans="1:2" ht="30">
      <c r="A30" t="s">
        <v>193</v>
      </c>
      <c r="B30" s="6" t="s">
        <v>194</v>
      </c>
    </row>
    <row r="31" spans="1:2" ht="30">
      <c r="A31" t="s">
        <v>195</v>
      </c>
      <c r="B31" s="6" t="s">
        <v>196</v>
      </c>
    </row>
    <row r="32" spans="1:2" ht="30">
      <c r="A32" t="s">
        <v>197</v>
      </c>
      <c r="B32" s="6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Players</vt:lpstr>
      <vt:lpstr>Adjusted</vt:lpstr>
      <vt:lpstr>Matches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Markus Prenner</cp:lastModifiedBy>
  <dcterms:created xsi:type="dcterms:W3CDTF">2026-10-15T08:21:15Z</dcterms:created>
  <dcterms:modified xsi:type="dcterms:W3CDTF">2026-10-15T13:08:52Z</dcterms:modified>
</cp:coreProperties>
</file>